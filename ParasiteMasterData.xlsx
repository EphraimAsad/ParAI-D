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rAI-D\"/>
    </mc:Choice>
  </mc:AlternateContent>
  <xr:revisionPtr revIDLastSave="0" documentId="13_ncr:1_{C341AB35-ED54-4241-BD3C-CE5C157FA120}" xr6:coauthVersionLast="47" xr6:coauthVersionMax="47" xr10:uidLastSave="{00000000-0000-0000-0000-000000000000}"/>
  <bookViews>
    <workbookView xWindow="11424" yWindow="0" windowWidth="11712" windowHeight="13776" activeTab="2" xr2:uid="{C8B45E1F-C72E-4F22-B7C5-BA872685B76A}"/>
  </bookViews>
  <sheets>
    <sheet name="Data" sheetId="1" r:id="rId1"/>
    <sheet name="Key" sheetId="2" r:id="rId2"/>
    <sheet name="Grou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" l="1"/>
  <c r="A2" i="2"/>
  <c r="A20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<sst xmlns="http://schemas.openxmlformats.org/spreadsheetml/2006/main" count="1203" uniqueCount="352">
  <si>
    <t>Parasite</t>
  </si>
  <si>
    <t>Countries Visited</t>
  </si>
  <si>
    <t>Eosinophilia</t>
  </si>
  <si>
    <t>Fever</t>
  </si>
  <si>
    <t>Diarrhea</t>
  </si>
  <si>
    <t>Bloody Diarrhea</t>
  </si>
  <si>
    <t>Anemia</t>
  </si>
  <si>
    <t>Cysts on Imaging</t>
  </si>
  <si>
    <t>Stool Cysts or Ova</t>
  </si>
  <si>
    <t>Vector Exposure</t>
  </si>
  <si>
    <t>Key test</t>
  </si>
  <si>
    <t>Symptoms</t>
  </si>
  <si>
    <t>Duration of Illness</t>
  </si>
  <si>
    <t>Animal Contact Type</t>
  </si>
  <si>
    <t>Blood Film Result</t>
  </si>
  <si>
    <t>Neurological Involvement</t>
  </si>
  <si>
    <t>Immune Status</t>
  </si>
  <si>
    <t>Liver Function Tests</t>
  </si>
  <si>
    <t>African; South American; North American; Europe; South Asia; East Asia; Australasian</t>
  </si>
  <si>
    <t>Liver; Stomach; Heart; Brain; Skin; Spleen; Kidneys; Lungs; Eyes; Pancreas</t>
  </si>
  <si>
    <t>Many entries</t>
  </si>
  <si>
    <t>Cat; Dog; Insect; Raccoon; Bear; Farm Animal; Other; Fish</t>
  </si>
  <si>
    <t>High IgE Level</t>
  </si>
  <si>
    <t>Positive; Negative; Variable; Unknown</t>
  </si>
  <si>
    <t>Many entries (Positive for etc)</t>
  </si>
  <si>
    <t>Only one</t>
  </si>
  <si>
    <t>Can Select Multiple, seperated by ;</t>
  </si>
  <si>
    <t>Name of Parasite</t>
  </si>
  <si>
    <t>Acute; Subacute; Chronic</t>
  </si>
  <si>
    <t>Compromised; Healthy; Elderly; Child; Immunosupressed (including Pregnant)</t>
  </si>
  <si>
    <t>Elevated; Normal; Low; Unknown; Variable</t>
  </si>
  <si>
    <t>Cystic; Abscess; Calcified; Lesion; None</t>
  </si>
  <si>
    <t>Water; Insect Bite (Non- Tick); Tick; Faeces; Meat; Other(Including Unknown); Fish; Animal Bite; Soil</t>
  </si>
  <si>
    <t>Giardia lamblia</t>
  </si>
  <si>
    <t>Intestine</t>
  </si>
  <si>
    <t>Water; Food; Faeces; Other(Including Unknown)</t>
  </si>
  <si>
    <t>Dog; Cat; Farm Animal; Other</t>
  </si>
  <si>
    <t>Negative</t>
  </si>
  <si>
    <t>Healthy</t>
  </si>
  <si>
    <t>Normal</t>
  </si>
  <si>
    <t>Variable</t>
  </si>
  <si>
    <t>Positive</t>
  </si>
  <si>
    <t>None</t>
  </si>
  <si>
    <t>Stool antigen test (ELISA or immunochromatographic assay); Direct wet mount microscopy (trophozoites or cysts); Stool concentration and staining; PCR for Giardia DNA</t>
  </si>
  <si>
    <t>Entamoeba histolytica</t>
  </si>
  <si>
    <t>African; South American; South Asia; East Asia</t>
  </si>
  <si>
    <t>Intestine; Liver</t>
  </si>
  <si>
    <t>Water; Faeces; Food; Other(Including Unknown)</t>
  </si>
  <si>
    <t>Watery Diarrhea; Abdominal Cramps; Flatulence; Bloating; Steatorrhea; Weight Loss; Fatigue; Nausea</t>
  </si>
  <si>
    <t>Other</t>
  </si>
  <si>
    <t>Elevated</t>
  </si>
  <si>
    <t>Abscess; Legion</t>
  </si>
  <si>
    <t>Stool microscopy for cysts/trophozoites with hematophagous trophs; Stool antigen (EIA); PCR for E. histolytica DNA; Ultrasound/CT for hepatic abscess; Serology (IgG)</t>
  </si>
  <si>
    <t>Strongyloides stercoralis</t>
  </si>
  <si>
    <t>African; South American; South Asia; East Asia; Australasian</t>
  </si>
  <si>
    <t>Intestine; Lungs; Skin</t>
  </si>
  <si>
    <t>Soil; Other(Including Unknown)</t>
  </si>
  <si>
    <t>Abdominal Pain; Diarrhea; Cough; Rash; Pruritus; Weight Loss</t>
  </si>
  <si>
    <t>Chronic</t>
  </si>
  <si>
    <t>Immunosuppressed (including Pregnant)</t>
  </si>
  <si>
    <t>Stool microscopy (larvae in fresh specimen); Agar-plate culture; Serology (IgG ELISA); PCR; Eosinophilia count; Sputum larvae in hyperinfection</t>
  </si>
  <si>
    <t>Plasmodium falciparum</t>
  </si>
  <si>
    <t>Blood; Spleen; Liver; Brain</t>
  </si>
  <si>
    <t>Insect Bite (Non-Tick)</t>
  </si>
  <si>
    <t>Fever; Chills; Sweating; Headache; Myalgia; Nausea; Vomiting; Jaundice; Altered Consciousness</t>
  </si>
  <si>
    <t>Acute</t>
  </si>
  <si>
    <t>Positive for Plasmodium; High parasitemia</t>
  </si>
  <si>
    <t>Thick and thin blood smear (Giemsa); Rapid diagnostic test (HRP-2 or pLDH); PCR for Plasmodium species; Hemoglobin and parasitemia monitoring</t>
  </si>
  <si>
    <t>Soil</t>
  </si>
  <si>
    <t>Ancylostoma duodenale (Hookworm)</t>
  </si>
  <si>
    <t>Necator americanus (Hookworm)</t>
  </si>
  <si>
    <t>Fatigue; Abdominal Pain; Diarrhea; Pruritic Rash; Cough; Wheeze; Weight Loss</t>
  </si>
  <si>
    <t>Stool microscopy for hookworm eggs; CBC showing iron-deficiency anemia; Eosinophilia; (Optional) PCR/speciation</t>
  </si>
  <si>
    <t>Ascaris lumbricoides</t>
  </si>
  <si>
    <t>Intestine; Lungs</t>
  </si>
  <si>
    <t>Abdominal Pain; Nausea; Malnutrition; Weight loss; Intestinal Obstruction; Cough; Wheeze</t>
  </si>
  <si>
    <t>Stool microscopy for Ascaris eggs; Imaging/ultrasound for worms in biliary/pancreatic ducts (when suspected); Eosinophilia</t>
  </si>
  <si>
    <t>Schistosoma mansoni</t>
  </si>
  <si>
    <t>African; South American</t>
  </si>
  <si>
    <t>Intestine; Liver; Spleen</t>
  </si>
  <si>
    <t>Water</t>
  </si>
  <si>
    <t>Fever; Chills; Abdominal Pain; Diarrhea; Bloody Diarrhea; Hepatosplenomegaly; Fatigue</t>
  </si>
  <si>
    <t>Acute; Chronic</t>
  </si>
  <si>
    <t>Stool Kato-Katz for eggs with lateral spine; Circulating cathodic antigen (CCA) test (where available); Serology; Ultrasound for periportal fibrosis; Eosinophilia</t>
  </si>
  <si>
    <t>Schistosoma haematobium</t>
  </si>
  <si>
    <t>African; Middle East</t>
  </si>
  <si>
    <t>Urinary Tract; Liver; Spleen</t>
  </si>
  <si>
    <t>Hematuria; Dysuria; Suprapubic Pain; Fatigue; Urinary Frequency; Flank Pain; Hydronephrosis; Fever</t>
  </si>
  <si>
    <t>Lesion</t>
  </si>
  <si>
    <t>Urine filtration microscopy (eggs with terminal spine); Serology (ELISA); Ultrasonography or cystoscopy; PCR for Schistosoma DNA; Eosinophilia</t>
  </si>
  <si>
    <t>Trichuris trichiura</t>
  </si>
  <si>
    <t>Diarrhea; Abdominal Pain; Tenesmus; Weight Loss; Rectal Prolapse; Fatigue</t>
  </si>
  <si>
    <t>Stool microscopy for barrel-shaped eggs with bipolar plugs; Eosinophilia; Colonoscopy (in heavy infections)</t>
  </si>
  <si>
    <t>Taenia solium</t>
  </si>
  <si>
    <t>Intestine; Brain; Muscle; Eyes</t>
  </si>
  <si>
    <t>Abdominal Pain; Diarrhea; Seizures; Headache; Visual Disturbance; Muscle Nodules; Weakness</t>
  </si>
  <si>
    <t>Pig; Farm Animal</t>
  </si>
  <si>
    <t>Cystic; Calcified; Lesion</t>
  </si>
  <si>
    <t>Stool microscopy (ova/proglottids); Brain CT/MRI (ring-enhancing lesions); Serum ELISA for cysticercosis IgG; Eosinophilia; Ophthalmic exam</t>
  </si>
  <si>
    <t>Toxoplasma gondii</t>
  </si>
  <si>
    <t>Brain; Eyes; Lungs; Lymph Nodes; Muscle</t>
  </si>
  <si>
    <t>Meat; Faeces; Other(Including Unknown)</t>
  </si>
  <si>
    <t>Meat; Faeces</t>
  </si>
  <si>
    <t>Fever; Malaise; Myalgia; Lymphadenopathy; Headache; Seizures; Visual Blurring</t>
  </si>
  <si>
    <t>Subacute; Chronic</t>
  </si>
  <si>
    <t>Cat; Other</t>
  </si>
  <si>
    <t>Cystic; Lesion</t>
  </si>
  <si>
    <t>Serology (IgM/IgG); PCR for T. gondii DNA; MRI/CT of brain (ring-enhancing lesions); Fundoscopic exam (retinochoroiditis); Histology of tissue cysts</t>
  </si>
  <si>
    <t>Leishmania donovani</t>
  </si>
  <si>
    <t>Liver; Spleen; Bone marrow; Skin</t>
  </si>
  <si>
    <t>Fever; Weight Loss; Fatigue; Splenomegaly; Hepatomegaly; Pancytopenia; Skin Darkening; Sweating</t>
  </si>
  <si>
    <t>Dog; Other</t>
  </si>
  <si>
    <t>Bone marrow/splenic aspirate microscopy (Leishman–Donovan bodies); rK39 serology; PCR; Culture in NNN medium; CBC (pancytopenia)</t>
  </si>
  <si>
    <t>Trypanosoma cruzi</t>
  </si>
  <si>
    <t>Heart; Intestine; Esophagus; Colon; Brain</t>
  </si>
  <si>
    <t>Anatomy Involvement</t>
  </si>
  <si>
    <t>Fever; Malaise; Swelling; Chagoma; Romañas Sign; Cardiomyopathy; Arrhythmia; Dysphagia; Constipation</t>
  </si>
  <si>
    <t>Dog; Farm Animal; Other</t>
  </si>
  <si>
    <t>Positive Trypomastigotes</t>
  </si>
  <si>
    <t>Positive Amastigotes</t>
  </si>
  <si>
    <t>Blood smear (acute); Serology (ELISA, IFA); PCR; ECG &amp; Echocardiogram (chronic phase); Xenodiagnosis; Organ biopsy (amastigotes)</t>
  </si>
  <si>
    <t>Trypanosoma brucei</t>
  </si>
  <si>
    <t>African</t>
  </si>
  <si>
    <t>Blood; Lymph nodes; Brain; Spleen; Liver</t>
  </si>
  <si>
    <t>Insect Bite (Non- Tick)</t>
  </si>
  <si>
    <t>Fever; Headache; Myalgia; Arthralgia; Pruritus; Lymphadenopathy; Daytime Somnolence; Personality Change; Confusion</t>
  </si>
  <si>
    <t>Thick/thin blood smear (trypomastigotes); Lymph node aspirate; CSF exam (staging); Card agglutination test (CATT) for gambiense; PCR</t>
  </si>
  <si>
    <t>Echinococcus granulosus</t>
  </si>
  <si>
    <t>African; South American; Europe; South Asia; East Asia; Australasian</t>
  </si>
  <si>
    <t>Liver; Lungs; Brain; Spleen</t>
  </si>
  <si>
    <t>Faeces</t>
  </si>
  <si>
    <t>Bloody Diarrhea; Abdominal Pain; Tenesmus; Weight Loss; Fever; RUQ Pain; Malaise</t>
  </si>
  <si>
    <t>Ultrasound/CT (hydatid cyst patterns); Serology (ELISA/IFA); MRI (complex sites); Aspirate (with caution) for protoscoleces/hooklets; PCR (reference)</t>
  </si>
  <si>
    <t>Trichinella spiralis</t>
  </si>
  <si>
    <t>Intestine; Muscle; Heart; Brain</t>
  </si>
  <si>
    <t>Meat</t>
  </si>
  <si>
    <t>Asymptomatic; RUQ Pain; Hepatomegaly; Cough; Dyspnea; Nausea; Anaphylaxis</t>
  </si>
  <si>
    <t>Abdominal Pain; Diarrhea; Fever; Myalgia; Periorbital Edema; Weakness; Headache; Dyspnea</t>
  </si>
  <si>
    <t>Subacute</t>
  </si>
  <si>
    <t>Bear; Farm Animal; Other</t>
  </si>
  <si>
    <t>Serology (IgG); Muscle biopsy (encysted larvae); Eosinophilia; Elevated CK/LDH; Exposure history to undercooked pork/wild game</t>
  </si>
  <si>
    <t>Schistosoma japonicum</t>
  </si>
  <si>
    <t>East Asia; South Asia</t>
  </si>
  <si>
    <t>Intestine; Liver; Spleen; CNS</t>
  </si>
  <si>
    <t>Fever; Abdominal Pain; Diarrhea; Bloody Diarrhea; Hepatosplenomegaly; Headache; Malaise; Cough; Neurological Symptoms</t>
  </si>
  <si>
    <t>Farm Animal; Other</t>
  </si>
  <si>
    <t>Stool microscopy for eggs with small lateral spine; Serology (ELISA); Ultrasound (periportal fibrosis); PCR for Schistosoma DNA</t>
  </si>
  <si>
    <t>Babesia microti</t>
  </si>
  <si>
    <t>Blood; Spleen; Liver</t>
  </si>
  <si>
    <t>Tick</t>
  </si>
  <si>
    <t>Fever; Chills; Fatigue; Myalgia; Hemolytic Anemia; Jaundice; Dark Urine; Headache; Dyspnea</t>
  </si>
  <si>
    <t>Positive Intraerythrocytic Ring</t>
  </si>
  <si>
    <t>Blood smear (Maltese cross forms); PCR for Babesia DNA; Serology (IFA IgG/IgM); Hemolysis labs (LDH↑, Hb↓); Rule out malaria</t>
  </si>
  <si>
    <t>Enterobius vermicularis</t>
  </si>
  <si>
    <t>Intestine; Perianal</t>
  </si>
  <si>
    <t>Faeces; Other(Including Unknown)</t>
  </si>
  <si>
    <t>Perianal Itching; Insomnia; Irritability; Abdominal Pain; Nausea</t>
  </si>
  <si>
    <t>Child</t>
  </si>
  <si>
    <t>Perianal tape test (eggs); Direct visualization of adult worms; Stool microscopy (occasional eggs); Clinical history</t>
  </si>
  <si>
    <t>Onchocerca volvulus</t>
  </si>
  <si>
    <t>Skin; Eyes</t>
  </si>
  <si>
    <t>Pruritus; Dermatitis; Subcutaneous Nodules; Skin Depigmentation; Vision Impairment; Punctate Keratitis; Photophobia</t>
  </si>
  <si>
    <t>Skin snip microscopy for microfilariae; Slit-lamp eye exam; Nodule excision histology; Serology; PCR (reference)</t>
  </si>
  <si>
    <t>Wuchereria bancrofti</t>
  </si>
  <si>
    <t>African; South Asia; East Asia; Australasian; South American</t>
  </si>
  <si>
    <t>Skin; Lungs</t>
  </si>
  <si>
    <t>Lymphoedema; Elephantiasis; Hydrocele; Recurrent Adenolymphangitis; Fever; Cough; Nocturnal</t>
  </si>
  <si>
    <t>Positive Microfilarie</t>
  </si>
  <si>
    <t>Night blood smear (microfilariae); Circulating filarial antigen test (CFA); Ultrasound “filarial dance sign”; Serology; PCR (reference)</t>
  </si>
  <si>
    <t>Fasciola hepatica</t>
  </si>
  <si>
    <t>Europe; South American; African; East Asia; Australasian</t>
  </si>
  <si>
    <t>Liver</t>
  </si>
  <si>
    <t>Food</t>
  </si>
  <si>
    <t>RUQ Pain; Fever; Hepatomegaly; Urticaria; Nausea; Biliary Colic; Jaundice</t>
  </si>
  <si>
    <t>Serology (ELISA) — acute phase; Stool microscopy for Fasciola eggs (chronic); Ultrasound/CT (hepatic tracks/lesions); Eosinophilia</t>
  </si>
  <si>
    <t>Dermatobia hominis</t>
  </si>
  <si>
    <t>Skin</t>
  </si>
  <si>
    <t>Lesion; Swelling; Serous Discharge; Sensation Of Skin Movement</t>
  </si>
  <si>
    <t>Clinical diagnosis (cutaneous furuncular lesion with central punctum); Larva extraction and identification; Ultrasound for subcutaneous larvae</t>
  </si>
  <si>
    <t>Diphyllobothrium latum</t>
  </si>
  <si>
    <t>Fish</t>
  </si>
  <si>
    <t>Fatigue; Diarrhea; Abdominal Pain; Weight Loss; Glossitis; Paresthesia; Megaloblastic Anemia</t>
  </si>
  <si>
    <t>Stool microscopy (operculated eggs, proglottids); CBC (macrocytic anemia); Serum B12 level; PCR (confirmatory)</t>
  </si>
  <si>
    <t>Toxocara canis</t>
  </si>
  <si>
    <t>African; North American; South American; Europe; South Asia; East Asia</t>
  </si>
  <si>
    <t>Liver; Lungs; Eyes; Brain</t>
  </si>
  <si>
    <t>Soil; Faeces</t>
  </si>
  <si>
    <t>Fever; Cough; Wheeze; Abdominal Pain; Hepatomegaly; Vision Loss; Neurological</t>
  </si>
  <si>
    <t>Dog; Cat</t>
  </si>
  <si>
    <t>Serology (ELISA for Toxocara IgG); Eosinophilia; Ophthalmoscopy (ocular lesions); Imaging (hepatic/lung lesions); Histopathology (larvae rarely seen)</t>
  </si>
  <si>
    <t>Clonorchis sinensis</t>
  </si>
  <si>
    <t>Liver; Gallbladder; Bile ducts; Pancreas</t>
  </si>
  <si>
    <t>Jaundice; Fatigue; Pruritus; Nausea; Anorexia; Fever; Cholestasis; RUQ Pain</t>
  </si>
  <si>
    <t>Stool microscopy (operculated eggs); Serology (ELISA); Ultrasound/CT for bile duct dilation; Eosinophilia; PCR (reference)</t>
  </si>
  <si>
    <t>Ancylostoma braziliense</t>
  </si>
  <si>
    <t>African; South American; North American; East Asia</t>
  </si>
  <si>
    <t>Serpiginous, Rash; Erythematous Tracts; Pruritus; Swelling</t>
  </si>
  <si>
    <t>Clinical diagnosis (migrating serpiginous tracks); Skin biopsy (rarely required); Eosinophilia; Travel/exposure history</t>
  </si>
  <si>
    <t>Balantidium coli</t>
  </si>
  <si>
    <t>African; South American; East Asia; South Asia</t>
  </si>
  <si>
    <t>Faeces; Food; Water</t>
  </si>
  <si>
    <t>Diarrhea; Bloody Diarrhea; Abdominal Pain; Nausea; Weight Loss; Tenesmus; Perforation</t>
  </si>
  <si>
    <t>Stool microscopy (trophozoites with cilia and macronucleus); Concentration/sedimentation prep; Sigmoidoscopy (ulcerations, rare biopsy)</t>
  </si>
  <si>
    <t>Cyclospora cayetanensis</t>
  </si>
  <si>
    <t>Watery Diarrhea; Abdominal Cramps; Bloating; Nausea; Anorexia; Fatigue; Weight Loss; Fever</t>
  </si>
  <si>
    <t>Stool oocysts by modified acid-fast stain; UV autofluorescence microscopy; PCR for Cyclospora DNA; Stool concentration methods (multiple specimens)</t>
  </si>
  <si>
    <t>Hymenolepis nana</t>
  </si>
  <si>
    <t>Aymptomatic; Abdominal Pain; Diarrhea; Anorexia; Irritability; Weight Loss; Perianal Itching</t>
  </si>
  <si>
    <t>Stool microscopy for characteristic ova; Repeat stool exams (autoinfection common); PCR/speciation (reference)</t>
  </si>
  <si>
    <t>Dracunculus medinensis</t>
  </si>
  <si>
    <t>Blister; Ulcer; Pain; Swelling; Erythema; Worm Emergence</t>
  </si>
  <si>
    <t>Clinical identification and extraction of adult worm; Microscopic ID of larvae from emerged female; Exposure history to unsafe water (copepods)</t>
  </si>
  <si>
    <t>Schistosoma intercalatum</t>
  </si>
  <si>
    <t>Abdominal Pain; Diarrhea; Bloody Diarrhea; Fatigue; Hepatosplenomegaly; Fever</t>
  </si>
  <si>
    <t>Stool microscopy (eggs with terminal spine); Serology (ELISA); Ultrasound (periportal fibrosis); PCR for Schistosoma DNA</t>
  </si>
  <si>
    <t>Cryptosporidium parvum</t>
  </si>
  <si>
    <t>Watery Diarrhea; Abdominal Cramps; Nausea; Weight Loss; Dehydration; Fever; Diarrhea</t>
  </si>
  <si>
    <t>Modified acid-fast stain (oocysts); Immunofluorescence assay; PCR for Cryptosporidium DNA; Antigen detection EIA</t>
  </si>
  <si>
    <t>Entamoeba coli</t>
  </si>
  <si>
    <t>Asymptomatic; Diarrhea; Abdominal Discomfort</t>
  </si>
  <si>
    <t>Stool microscopy (8-nucleate cysts); Concentration techniques; Morphological differentiation from E. histolytica</t>
  </si>
  <si>
    <t>Naegleria fowleri</t>
  </si>
  <si>
    <t>Brain; Nasal passages</t>
  </si>
  <si>
    <t>Headache; Fever; Nausea; Vomiting; Neck Rigidity; Altered Mental Status; Seizures; Coma; Death</t>
  </si>
  <si>
    <t>Wet mount of CSF (motile trophozoites); PCR for N. fowleri DNA; CSF antigen test; Brain biopsy (trophozoites); History of recent warm freshwater exposure</t>
  </si>
  <si>
    <t>Encephalitozoon intestinalis</t>
  </si>
  <si>
    <t>Intestine; Liver; Lungs; Kidneys</t>
  </si>
  <si>
    <t>Water; Faeces</t>
  </si>
  <si>
    <t>Watery Diarrhea; Weight Loss; Abdominal Pain; Fever; Malaise; Cough ; Keratoconjunctivitis</t>
  </si>
  <si>
    <t>Modified trichrome stain (spores); Electron microscopy; PCR for microsporidian DNA; Immunofluorescence assay; Stool concentration</t>
  </si>
  <si>
    <t>Cystoisospora belli</t>
  </si>
  <si>
    <t>Food; Water; Faeces</t>
  </si>
  <si>
    <t>Watery Diarrhea; Abdominal Pain; Weight Loss; Fatigue; Fever; Malabsorption; Steatorrhea</t>
  </si>
  <si>
    <t>Modified acid-fast stain (oocysts); Autofluorescence microscopy; PCR; Stool concentration techniques (repeat specimens); Biopsy (rare)</t>
  </si>
  <si>
    <t>Loa loa</t>
  </si>
  <si>
    <t>Swelling; Pruritus; Painful Eye; Fatigue; Rash</t>
  </si>
  <si>
    <t>Positive Diurnal Microfilariae</t>
  </si>
  <si>
    <t>Daytime blood smear (microfilariae); Visualization of adult worm (eye or subcutaneous tissue); Serology; PCR for Loa DNA</t>
  </si>
  <si>
    <t>Mansonella perstans</t>
  </si>
  <si>
    <t>Blood; Serous cavities; Skin</t>
  </si>
  <si>
    <t>Asymptomatic; Pruritus; Swelling; Angioedema; Headache; Abdominal Pain; Eosinophilia</t>
  </si>
  <si>
    <t>Blood smear (microfilariae without sheath); PCR for Mansonella DNA; Eosinophilia; Clinical exclusion of other filariae</t>
  </si>
  <si>
    <t>Trichinella nativa</t>
  </si>
  <si>
    <t>Muscle; Heart; Brain</t>
  </si>
  <si>
    <t>Fever; Myalgia; Periorbital Edema; Headache; Nausea; Weakness; Dyspnea; Arrhythmia</t>
  </si>
  <si>
    <t>Serology (IgG ELISA); Muscle biopsy (encysted larvae); Elevated CK/LDH; History of eating raw or undercooked polar bear/walrus/meat</t>
  </si>
  <si>
    <t>Blastocystis hominis</t>
  </si>
  <si>
    <t>Asymptomatic; Nausea; Bloating; Abdominal Cramps; Flatulence; Diarrhea; Fatigue</t>
  </si>
  <si>
    <t>Stool microscopy (vacuolar forms); Concentration and trichrome staining; PCR subtyping; Exclusion of other pathogens</t>
  </si>
  <si>
    <t>Paragonimus westermani</t>
  </si>
  <si>
    <t>Lungs; Brain</t>
  </si>
  <si>
    <t>Cough; Hemoptysis; Chest Pain; Dyspnea; Fever; Weight Loss; Seizures</t>
  </si>
  <si>
    <t>Cystic</t>
  </si>
  <si>
    <t>Sputum/stool microscopy for operculated eggs; Serology (ELISA); Chest CT (cystic lesions); PCR (reference)</t>
  </si>
  <si>
    <t>Strongyloides fuelleborni</t>
  </si>
  <si>
    <t>African; Australasian</t>
  </si>
  <si>
    <t>Diarrhea; Abdominal Pain; Weight Loss; Cough; Wheeze; Pruritus</t>
  </si>
  <si>
    <t>Stool microscopy (larvae); Agar-plate culture; Serology (IgG); PCR; Eosinophilia; Sputum larvae in severe disease</t>
  </si>
  <si>
    <t>Dientamoeba fragilis</t>
  </si>
  <si>
    <t>Diarrhea; Abdominal Pain; Bloating; Flatulence; Fatigue; Weight Loss</t>
  </si>
  <si>
    <t>Stool PCR (preferred); Concentrated stool with permanent stain for trophozoites; Multiple specimens recommended</t>
  </si>
  <si>
    <t>Angiostrongylus cantonensis</t>
  </si>
  <si>
    <t>East Asia; Australasian; North American</t>
  </si>
  <si>
    <t>Brain; Meninges</t>
  </si>
  <si>
    <t>Headache; Neck Rigidity; Nausea; Vomiting; Paresthesias; Photophobia; Eosinophilia; Meningitis</t>
  </si>
  <si>
    <t>CSF eosinophilia; PCR for A. cantonensis DNA (CSF); Serology; Neuroimaging; Exposure history (snails/slugs/raw produce)</t>
  </si>
  <si>
    <t>Baylisascaris procyonis</t>
  </si>
  <si>
    <t>North American; Europe</t>
  </si>
  <si>
    <t>Brain; Eyes; Liver; Lungs</t>
  </si>
  <si>
    <t>Ataxia; Seizures; Vision Loss; Hepatomegaly; Eosinophilia; Meningitis; Encephalitis</t>
  </si>
  <si>
    <t>Serology (Baylisascaris IgG); MRI/CT brain lesions; Ophthalmologic exam (ocular larva migrans); Tissue biopsy (rare larvae visualization); Peripheral/CSF eosinophilia</t>
  </si>
  <si>
    <t>Schistosoma mekongi</t>
  </si>
  <si>
    <t>South Asia</t>
  </si>
  <si>
    <t>Abdominal Pain; Diarrhea; Bloody Diarrhea; Hepatosplenomegaly; Fatigue; Ascites; Portal Hypertension</t>
  </si>
  <si>
    <t>Stool microscopy (eggs with small terminal spine); Serology; Ultrasound (periportal fibrosis); PCR for S. mekongi DNA</t>
  </si>
  <si>
    <t>Taenia saginata</t>
  </si>
  <si>
    <t>African; South American; North American; Europe; South Asia; East Asia</t>
  </si>
  <si>
    <t>Abdominal Discomfort; Nausea; Weight Loss; Increased Appetite; Epigastric Pain</t>
  </si>
  <si>
    <t>Farm Animal</t>
  </si>
  <si>
    <t>Stool microscopy (Taenia eggs/proglottids); Species identification by scolex morphology (no hooks); PCR for species confirmation</t>
  </si>
  <si>
    <t>Acanthamoeba spp.</t>
  </si>
  <si>
    <t>Eyes; Brain; Skin</t>
  </si>
  <si>
    <t>Water; Soil; Other(Including Unknown)</t>
  </si>
  <si>
    <t>Keratitis; Headache; Confusion;  Seizures; Ulcer</t>
  </si>
  <si>
    <t>Corneal scraping microscopy (trophozoites/cysts); Brain biopsy or PCR (GAE); Culture on non-nutrient agar with E. coli; Confocal microscopy (keratitis)</t>
  </si>
  <si>
    <t>Cordylobia anthropophaga</t>
  </si>
  <si>
    <t>Insect Bite (Non- Tick); Soil; Other(Including Unknown)</t>
  </si>
  <si>
    <t>Skin Lesion; Swelling; Serosanguinous Discharge; Sensation Of Skin Movement</t>
  </si>
  <si>
    <t>Clinical diagnosis (furuncular lesion with larva breathing pore); Extraction and species ID; Ultrasound (motile larva under skin)</t>
  </si>
  <si>
    <t>Echinococcus multilocularis</t>
  </si>
  <si>
    <t>Europe; North American; East Asia</t>
  </si>
  <si>
    <t>Liver; Lungs; Brain</t>
  </si>
  <si>
    <t>Asymptomatic; RUQ Pain; Weight Loss; Jaundice; Cholestasis; Fatigue</t>
  </si>
  <si>
    <t>Ultrasound/CT/MRI (multiloculated hepatic lesion); Serology (Em2/Em18); Histopathology of lesion; PCR (reference)</t>
  </si>
  <si>
    <t>Gnathostoma spinigerum</t>
  </si>
  <si>
    <t>Skin; Brain; Eyes; Liver</t>
  </si>
  <si>
    <t>Swelling; Pruritus; Eosinophilia; Meningitis; Radiculomyelitis; Ocular Pain; Visual disturbance; Abdominal Pain</t>
  </si>
  <si>
    <t>Fish; Other</t>
  </si>
  <si>
    <t>Serology (immunoblot ~24-kDa antigen); Eosinophilia; MRI/CT (neuro involvement); Tissue biopsy (larvae rarely seen); Exposure to raw/undercooked freshwater fish</t>
  </si>
  <si>
    <t>Leishmania tropica</t>
  </si>
  <si>
    <t>African; South Asia; East Asia; Europe</t>
  </si>
  <si>
    <t>Skin; Lymph nodes</t>
  </si>
  <si>
    <t>Ulcer; Lesion; Lymphadenopathy</t>
  </si>
  <si>
    <t>Skin smear/scrape (amastigotes); PCR from lesion; Culture (NNN medium); Histology of lesion; Montenegro skin test (where used)</t>
  </si>
  <si>
    <t>Trichuris vulpis</t>
  </si>
  <si>
    <t>Abdominal Pain; Diarrhea; Tenesmus; Weight Loss; Eosinophilia; Rectal Bleeding</t>
  </si>
  <si>
    <t>Dog</t>
  </si>
  <si>
    <t>Stool microscopy (Trichuris-type eggs; larger than human whipworm); Exposure to dog feces/contaminated soil; PCR (reference, rare)</t>
  </si>
  <si>
    <t>North American; Europe; East Asia</t>
  </si>
  <si>
    <t>African; South Asia; East Asia; South American</t>
  </si>
  <si>
    <t>North American; South Asia; East Asia; Australasian</t>
  </si>
  <si>
    <t>African; South Asia; South American; East Asia</t>
  </si>
  <si>
    <t>South American; South American</t>
  </si>
  <si>
    <t>Group</t>
  </si>
  <si>
    <t>Subtype</t>
  </si>
  <si>
    <t>Name</t>
  </si>
  <si>
    <t>Intestinal Protozoa</t>
  </si>
  <si>
    <t>Non-Invasive Enteric</t>
  </si>
  <si>
    <t>Invasive Enteric</t>
  </si>
  <si>
    <t>Opportunistic Protozoa</t>
  </si>
  <si>
    <t>Immunocompromised Diarrheal</t>
  </si>
  <si>
    <t>CNS/ Ocular</t>
  </si>
  <si>
    <t>Blood &amp; Tissue Protozoa</t>
  </si>
  <si>
    <t>Hemoflagellates/ Bloodborne</t>
  </si>
  <si>
    <t>Visceral/Cutaneous Leishmaniasis</t>
  </si>
  <si>
    <t>Intracellualar Cyst Forming</t>
  </si>
  <si>
    <t>Intestinal Nematodes</t>
  </si>
  <si>
    <t>Soil Transmitted</t>
  </si>
  <si>
    <t>Larval Cutaneous Migrans</t>
  </si>
  <si>
    <t>Small Intestinal Autoinfection</t>
  </si>
  <si>
    <t>Zoonotic Intestinal</t>
  </si>
  <si>
    <t>Tissue/ Migratory Nematodes</t>
  </si>
  <si>
    <t>Larva migrans</t>
  </si>
  <si>
    <t>Neuro-/Visceral Larval</t>
  </si>
  <si>
    <t>Muscle phase Trichinellosis</t>
  </si>
  <si>
    <t>Cutaneous Emergent</t>
  </si>
  <si>
    <t>Filarial Nematodes</t>
  </si>
  <si>
    <t>Lymphatic filariasis</t>
  </si>
  <si>
    <t>Subcutaneous / Ocular</t>
  </si>
  <si>
    <t>Cestodes (Tapeworms)</t>
  </si>
  <si>
    <t>Hepatobiliary / Biliary</t>
  </si>
  <si>
    <t>Pulmonary (Lung Fluke)</t>
  </si>
  <si>
    <t>Intestinal / Systemic Schistosomiasis</t>
  </si>
  <si>
    <t>Urinary Schistosomiasis</t>
  </si>
  <si>
    <t>Myiasis / Arthropod Parasites</t>
  </si>
  <si>
    <t>Cutaneous Myiasis</t>
  </si>
  <si>
    <t>Trematodes (Flukes))</t>
  </si>
  <si>
    <t>Intestinal (non-invasive)</t>
  </si>
  <si>
    <t>Cysticercosis / Larval stage</t>
  </si>
  <si>
    <t>Hydatid disease</t>
  </si>
  <si>
    <t>Rare / Zoonotic Special Parasites</t>
  </si>
  <si>
    <t>Neural / Disseminated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</si>
</sst>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44E09-57EE-4013-A1F7-35AC8A6A4E45}" name="Table1" displayName="Table1" ref="A1:V1048576" totalsRowShown="0">
  <autoFilter ref="A1:V1048576" xr:uid="{BA744E09-57EE-4013-A1F7-35AC8A6A4E45}"/>
  <sortState xmlns:xlrd2="http://schemas.microsoft.com/office/spreadsheetml/2017/richdata2" ref="A2:T37">
    <sortCondition ref="A1:A1048576"/>
  </sortState>
  <tableColumns count="22">
    <tableColumn id="1" xr3:uid="{3C39ED7B-1BDC-49BE-AF39-1FA1DFD87141}" name="Parasite" dataDxfId="2"/>
    <tableColumn id="2" xr3:uid="{3A880ADB-A7E0-48BB-AB5A-93FDD2656DAA}" name="Countries Visited" dataDxfId="3"/>
    <tableColumn id="3" xr3:uid="{0F9064D2-FB7D-4222-AC68-BCBABD47ACE4}" name="Anatomy Involvement"/>
    <tableColumn id="4" xr3:uid="{8ADFFA04-AA66-4E66-82A0-11397A6C3FCA}" name="Vector Exposure"/>
    <tableColumn id="5" xr3:uid="{9E7C4EF1-9EF4-4B0D-9D1E-6ADC09006040}" name="Symptoms"/>
    <tableColumn id="6" xr3:uid="{198F012E-270C-4B02-8B28-B5695DE76809}" name="Duration of Illness"/>
    <tableColumn id="7" xr3:uid="{60932128-27E0-4163-93C2-50ACE5FA45DE}" name="Animal Contact Type"/>
    <tableColumn id="8" xr3:uid="{174BD98F-7AE0-4B05-A16F-6A4940C1E183}" name="Blood Film Result"/>
    <tableColumn id="9" xr3:uid="{F0247124-4861-432D-8D18-B2BBB9F13A4A}" name="Immune Status"/>
    <tableColumn id="10" xr3:uid="{08779BAA-1388-45C9-A246-E4537A0E15CB}" name="Liver Function Tests"/>
    <tableColumn id="11" xr3:uid="{0246B951-9395-4383-9A7A-2F9A54E18628}" name="Neurological Involvement"/>
    <tableColumn id="12" xr3:uid="{02B77454-A1BE-4677-A60E-1A06C3C5864C}" name="Eosinophilia"/>
    <tableColumn id="13" xr3:uid="{CCFE21C3-D070-4BD1-9DA2-AE4A2592B732}" name="Fever"/>
    <tableColumn id="14" xr3:uid="{36C5803F-C26E-4076-A490-7985B4D2C1B6}" name="Diarrhea"/>
    <tableColumn id="15" xr3:uid="{F0644CA3-3B19-41FB-BC24-2FA01CC7F791}" name="Bloody Diarrhea"/>
    <tableColumn id="16" xr3:uid="{EEE04414-257C-4318-AA0D-F693CA68AF55}" name="Stool Cysts or Ova"/>
    <tableColumn id="17" xr3:uid="{32FADB57-0B6B-48BA-8735-2F4B93480452}" name="Anemia"/>
    <tableColumn id="18" xr3:uid="{6A081C2E-E9FC-4BE3-A8D1-6CA76C1EA01D}" name="Cysts on Imaging"/>
    <tableColumn id="19" xr3:uid="{04B37747-5740-4719-9293-38BD74612A69}" name="High IgE Level"/>
    <tableColumn id="20" xr3:uid="{37011DD0-575A-4947-8ED2-EA4418CB052F}" name="Key test"/>
    <tableColumn id="21" xr3:uid="{D2CDA9BD-307B-43AF-BE82-981B65B2827D}" name="Group" dataDxfId="1"/>
    <tableColumn id="22" xr3:uid="{60A6CF42-CD21-453E-B28F-2E886E6FCD0F}" name="Sub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0456-B24A-4B57-87DA-F5A1038F6483}">
  <dimension ref="A1:V56"/>
  <sheetViews>
    <sheetView topLeftCell="D1" workbookViewId="0">
      <selection activeCell="G4" sqref="G4"/>
    </sheetView>
  </sheetViews>
  <sheetFormatPr defaultRowHeight="14.4" x14ac:dyDescent="0.3"/>
  <cols>
    <col min="1" max="1" width="30.88671875" style="1" bestFit="1" customWidth="1"/>
    <col min="2" max="2" width="70.21875" style="1" bestFit="1" customWidth="1"/>
    <col min="3" max="3" width="34.33203125" bestFit="1" customWidth="1"/>
    <col min="4" max="4" width="44.5546875" bestFit="1" customWidth="1"/>
    <col min="5" max="5" width="102.6640625" bestFit="1" customWidth="1"/>
    <col min="6" max="6" width="21.6640625" bestFit="1" customWidth="1"/>
    <col min="7" max="7" width="24.5546875" bestFit="1" customWidth="1"/>
    <col min="8" max="8" width="56.88671875" bestFit="1" customWidth="1"/>
    <col min="9" max="9" width="33.77734375" bestFit="1" customWidth="1"/>
    <col min="10" max="10" width="19.109375" customWidth="1"/>
    <col min="11" max="11" width="24" customWidth="1"/>
    <col min="12" max="12" width="13.109375" customWidth="1"/>
    <col min="14" max="14" width="10" customWidth="1"/>
    <col min="15" max="15" width="16" customWidth="1"/>
    <col min="16" max="16" width="17.6640625" customWidth="1"/>
    <col min="17" max="17" width="9.21875" customWidth="1"/>
    <col min="18" max="18" width="20.21875" bestFit="1" customWidth="1"/>
    <col min="19" max="19" width="10" customWidth="1"/>
    <col min="20" max="20" width="136.77734375" bestFit="1" customWidth="1"/>
    <col min="21" max="21" width="10.5546875" style="1" bestFit="1" customWidth="1"/>
    <col min="22" max="22" width="12.33203125" style="1" bestFit="1" customWidth="1"/>
  </cols>
  <sheetData>
    <row r="1" spans="1:22" x14ac:dyDescent="0.3">
      <c r="A1" s="1" t="s">
        <v>0</v>
      </c>
      <c r="B1" s="1" t="s">
        <v>1</v>
      </c>
      <c r="C1" t="s">
        <v>115</v>
      </c>
      <c r="D1" t="s">
        <v>9</v>
      </c>
      <c r="E1" t="s">
        <v>11</v>
      </c>
      <c r="F1" t="s">
        <v>12</v>
      </c>
      <c r="G1" t="s">
        <v>13</v>
      </c>
      <c r="H1" t="s">
        <v>14</v>
      </c>
      <c r="I1" t="s">
        <v>16</v>
      </c>
      <c r="J1" t="s">
        <v>17</v>
      </c>
      <c r="K1" t="s">
        <v>15</v>
      </c>
      <c r="L1" t="s">
        <v>2</v>
      </c>
      <c r="M1" t="s">
        <v>3</v>
      </c>
      <c r="N1" t="s">
        <v>4</v>
      </c>
      <c r="O1" t="s">
        <v>5</v>
      </c>
      <c r="P1" t="s">
        <v>8</v>
      </c>
      <c r="Q1" t="s">
        <v>6</v>
      </c>
      <c r="R1" t="s">
        <v>7</v>
      </c>
      <c r="S1" t="s">
        <v>22</v>
      </c>
      <c r="T1" t="s">
        <v>10</v>
      </c>
      <c r="U1" s="1" t="s">
        <v>313</v>
      </c>
      <c r="V1" s="1" t="s">
        <v>314</v>
      </c>
    </row>
    <row r="2" spans="1:22" x14ac:dyDescent="0.3">
      <c r="A2" s="1" t="s">
        <v>194</v>
      </c>
      <c r="B2" s="1" t="s">
        <v>195</v>
      </c>
      <c r="C2" t="s">
        <v>176</v>
      </c>
      <c r="D2" t="s">
        <v>68</v>
      </c>
      <c r="E2" t="s">
        <v>196</v>
      </c>
      <c r="F2" t="s">
        <v>138</v>
      </c>
      <c r="G2" t="s">
        <v>188</v>
      </c>
      <c r="H2" t="s">
        <v>37</v>
      </c>
      <c r="I2" t="s">
        <v>38</v>
      </c>
      <c r="J2" t="s">
        <v>39</v>
      </c>
      <c r="K2" t="s">
        <v>37</v>
      </c>
      <c r="L2" t="s">
        <v>41</v>
      </c>
      <c r="M2" t="s">
        <v>40</v>
      </c>
      <c r="N2" t="s">
        <v>37</v>
      </c>
      <c r="O2" t="s">
        <v>37</v>
      </c>
      <c r="P2" t="s">
        <v>37</v>
      </c>
      <c r="Q2" t="s">
        <v>37</v>
      </c>
      <c r="R2" t="s">
        <v>42</v>
      </c>
      <c r="S2" t="s">
        <v>41</v>
      </c>
      <c r="T2" t="s">
        <v>197</v>
      </c>
    </row>
    <row r="3" spans="1:22" x14ac:dyDescent="0.3">
      <c r="A3" s="1" t="s">
        <v>69</v>
      </c>
      <c r="B3" s="1" t="s">
        <v>54</v>
      </c>
      <c r="C3" t="s">
        <v>55</v>
      </c>
      <c r="D3" t="s">
        <v>68</v>
      </c>
      <c r="E3" t="s">
        <v>71</v>
      </c>
      <c r="F3" t="s">
        <v>58</v>
      </c>
      <c r="G3" t="s">
        <v>49</v>
      </c>
      <c r="H3" t="s">
        <v>37</v>
      </c>
      <c r="I3" t="s">
        <v>38</v>
      </c>
      <c r="J3" t="s">
        <v>39</v>
      </c>
      <c r="K3" t="s">
        <v>37</v>
      </c>
      <c r="L3" t="s">
        <v>41</v>
      </c>
      <c r="M3" t="s">
        <v>40</v>
      </c>
      <c r="N3" t="s">
        <v>40</v>
      </c>
      <c r="O3" t="s">
        <v>37</v>
      </c>
      <c r="P3" t="s">
        <v>41</v>
      </c>
      <c r="Q3" t="s">
        <v>41</v>
      </c>
      <c r="R3" t="s">
        <v>42</v>
      </c>
      <c r="S3" t="s">
        <v>41</v>
      </c>
      <c r="T3" t="s">
        <v>72</v>
      </c>
    </row>
    <row r="4" spans="1:22" x14ac:dyDescent="0.3">
      <c r="A4" s="1" t="s">
        <v>73</v>
      </c>
      <c r="B4" s="1" t="s">
        <v>45</v>
      </c>
      <c r="C4" t="s">
        <v>74</v>
      </c>
      <c r="D4" t="s">
        <v>68</v>
      </c>
      <c r="E4" t="s">
        <v>75</v>
      </c>
      <c r="F4" t="s">
        <v>58</v>
      </c>
      <c r="G4" t="s">
        <v>49</v>
      </c>
      <c r="H4" t="s">
        <v>37</v>
      </c>
      <c r="I4" t="s">
        <v>38</v>
      </c>
      <c r="J4" t="s">
        <v>39</v>
      </c>
      <c r="K4" t="s">
        <v>37</v>
      </c>
      <c r="L4" t="s">
        <v>41</v>
      </c>
      <c r="M4" t="s">
        <v>40</v>
      </c>
      <c r="N4" t="s">
        <v>40</v>
      </c>
      <c r="O4" t="s">
        <v>37</v>
      </c>
      <c r="P4" t="s">
        <v>41</v>
      </c>
      <c r="Q4" t="s">
        <v>40</v>
      </c>
      <c r="R4" t="s">
        <v>42</v>
      </c>
      <c r="S4" t="s">
        <v>41</v>
      </c>
      <c r="T4" t="s">
        <v>76</v>
      </c>
    </row>
    <row r="5" spans="1:22" x14ac:dyDescent="0.3">
      <c r="A5" s="1" t="s">
        <v>147</v>
      </c>
      <c r="B5" s="1" t="s">
        <v>267</v>
      </c>
      <c r="C5" t="s">
        <v>148</v>
      </c>
      <c r="D5" t="s">
        <v>149</v>
      </c>
      <c r="E5" t="s">
        <v>150</v>
      </c>
      <c r="F5" t="s">
        <v>138</v>
      </c>
      <c r="G5" t="s">
        <v>49</v>
      </c>
      <c r="H5" t="s">
        <v>151</v>
      </c>
      <c r="I5" t="s">
        <v>59</v>
      </c>
      <c r="J5" t="s">
        <v>50</v>
      </c>
      <c r="K5" t="s">
        <v>37</v>
      </c>
      <c r="L5" t="s">
        <v>37</v>
      </c>
      <c r="M5" t="s">
        <v>41</v>
      </c>
      <c r="N5" t="s">
        <v>37</v>
      </c>
      <c r="O5" t="s">
        <v>37</v>
      </c>
      <c r="P5" t="s">
        <v>37</v>
      </c>
      <c r="Q5" t="s">
        <v>41</v>
      </c>
      <c r="R5" t="s">
        <v>42</v>
      </c>
      <c r="S5" t="s">
        <v>40</v>
      </c>
      <c r="T5" t="s">
        <v>152</v>
      </c>
    </row>
    <row r="6" spans="1:22" x14ac:dyDescent="0.3">
      <c r="A6" s="1" t="s">
        <v>198</v>
      </c>
      <c r="B6" s="1" t="s">
        <v>199</v>
      </c>
      <c r="C6" t="s">
        <v>34</v>
      </c>
      <c r="D6" t="s">
        <v>200</v>
      </c>
      <c r="E6" t="s">
        <v>201</v>
      </c>
      <c r="F6" t="s">
        <v>82</v>
      </c>
      <c r="G6" t="s">
        <v>96</v>
      </c>
      <c r="H6" t="s">
        <v>37</v>
      </c>
      <c r="I6" t="s">
        <v>38</v>
      </c>
      <c r="J6" t="s">
        <v>39</v>
      </c>
      <c r="K6" t="s">
        <v>37</v>
      </c>
      <c r="L6" t="s">
        <v>40</v>
      </c>
      <c r="M6" t="s">
        <v>40</v>
      </c>
      <c r="N6" t="s">
        <v>41</v>
      </c>
      <c r="O6" t="s">
        <v>41</v>
      </c>
      <c r="P6" t="s">
        <v>41</v>
      </c>
      <c r="Q6" t="s">
        <v>41</v>
      </c>
      <c r="R6" t="s">
        <v>42</v>
      </c>
      <c r="S6" t="s">
        <v>40</v>
      </c>
      <c r="T6" t="s">
        <v>202</v>
      </c>
      <c r="U6" s="1">
        <v>1</v>
      </c>
      <c r="V6" s="1">
        <v>2</v>
      </c>
    </row>
    <row r="7" spans="1:22" x14ac:dyDescent="0.3">
      <c r="A7" s="1" t="s">
        <v>190</v>
      </c>
      <c r="B7" s="1" t="s">
        <v>142</v>
      </c>
      <c r="C7" t="s">
        <v>191</v>
      </c>
      <c r="D7" t="s">
        <v>180</v>
      </c>
      <c r="E7" t="s">
        <v>192</v>
      </c>
      <c r="F7" t="s">
        <v>58</v>
      </c>
      <c r="G7" t="s">
        <v>180</v>
      </c>
      <c r="H7" t="s">
        <v>37</v>
      </c>
      <c r="I7" t="s">
        <v>38</v>
      </c>
      <c r="J7" t="s">
        <v>50</v>
      </c>
      <c r="K7" t="s">
        <v>37</v>
      </c>
      <c r="L7" t="s">
        <v>41</v>
      </c>
      <c r="M7" t="s">
        <v>40</v>
      </c>
      <c r="N7" t="s">
        <v>40</v>
      </c>
      <c r="O7" t="s">
        <v>37</v>
      </c>
      <c r="P7" t="s">
        <v>41</v>
      </c>
      <c r="Q7" t="s">
        <v>40</v>
      </c>
      <c r="R7" t="s">
        <v>88</v>
      </c>
      <c r="S7" t="s">
        <v>41</v>
      </c>
      <c r="T7" t="s">
        <v>193</v>
      </c>
    </row>
    <row r="8" spans="1:22" x14ac:dyDescent="0.3">
      <c r="A8" s="1" t="s">
        <v>215</v>
      </c>
      <c r="B8" s="1" t="s">
        <v>18</v>
      </c>
      <c r="C8" s="2" t="s">
        <v>34</v>
      </c>
      <c r="D8" t="s">
        <v>200</v>
      </c>
      <c r="E8" t="s">
        <v>216</v>
      </c>
      <c r="F8" t="s">
        <v>82</v>
      </c>
      <c r="G8" t="s">
        <v>145</v>
      </c>
      <c r="H8" t="s">
        <v>37</v>
      </c>
      <c r="I8" t="s">
        <v>59</v>
      </c>
      <c r="J8" t="s">
        <v>39</v>
      </c>
      <c r="K8" t="s">
        <v>37</v>
      </c>
      <c r="L8" t="s">
        <v>37</v>
      </c>
      <c r="M8" t="s">
        <v>40</v>
      </c>
      <c r="N8" t="s">
        <v>41</v>
      </c>
      <c r="O8" t="s">
        <v>37</v>
      </c>
      <c r="P8" t="s">
        <v>41</v>
      </c>
      <c r="Q8" t="s">
        <v>40</v>
      </c>
      <c r="R8" t="s">
        <v>42</v>
      </c>
      <c r="S8" t="s">
        <v>40</v>
      </c>
      <c r="T8" t="s">
        <v>217</v>
      </c>
    </row>
    <row r="9" spans="1:22" x14ac:dyDescent="0.3">
      <c r="A9" s="1" t="s">
        <v>203</v>
      </c>
      <c r="B9" s="1" t="s">
        <v>18</v>
      </c>
      <c r="C9" t="s">
        <v>34</v>
      </c>
      <c r="D9" t="s">
        <v>172</v>
      </c>
      <c r="E9" t="s">
        <v>204</v>
      </c>
      <c r="F9" t="s">
        <v>104</v>
      </c>
      <c r="G9" t="s">
        <v>49</v>
      </c>
      <c r="H9" t="s">
        <v>37</v>
      </c>
      <c r="I9" t="s">
        <v>38</v>
      </c>
      <c r="J9" t="s">
        <v>39</v>
      </c>
      <c r="K9" t="s">
        <v>37</v>
      </c>
      <c r="L9" t="s">
        <v>37</v>
      </c>
      <c r="M9" t="s">
        <v>40</v>
      </c>
      <c r="N9" t="s">
        <v>41</v>
      </c>
      <c r="O9" t="s">
        <v>37</v>
      </c>
      <c r="P9" t="s">
        <v>41</v>
      </c>
      <c r="Q9" t="s">
        <v>40</v>
      </c>
      <c r="R9" t="s">
        <v>42</v>
      </c>
      <c r="S9" t="s">
        <v>40</v>
      </c>
      <c r="T9" t="s">
        <v>205</v>
      </c>
    </row>
    <row r="10" spans="1:22" x14ac:dyDescent="0.3">
      <c r="A10" s="1" t="s">
        <v>175</v>
      </c>
      <c r="B10" s="1" t="s">
        <v>312</v>
      </c>
      <c r="C10" t="s">
        <v>176</v>
      </c>
      <c r="D10" t="s">
        <v>124</v>
      </c>
      <c r="E10" t="s">
        <v>177</v>
      </c>
      <c r="F10" t="s">
        <v>138</v>
      </c>
      <c r="G10" t="s">
        <v>49</v>
      </c>
      <c r="H10" t="s">
        <v>37</v>
      </c>
      <c r="I10" t="s">
        <v>38</v>
      </c>
      <c r="J10" t="s">
        <v>39</v>
      </c>
      <c r="K10" t="s">
        <v>37</v>
      </c>
      <c r="L10" t="s">
        <v>40</v>
      </c>
      <c r="M10" t="s">
        <v>40</v>
      </c>
      <c r="N10" t="s">
        <v>37</v>
      </c>
      <c r="O10" t="s">
        <v>37</v>
      </c>
      <c r="P10" t="s">
        <v>37</v>
      </c>
      <c r="Q10" t="s">
        <v>37</v>
      </c>
      <c r="R10" t="s">
        <v>88</v>
      </c>
      <c r="S10" t="s">
        <v>40</v>
      </c>
      <c r="T10" t="s">
        <v>178</v>
      </c>
    </row>
    <row r="11" spans="1:22" x14ac:dyDescent="0.3">
      <c r="A11" s="1" t="s">
        <v>179</v>
      </c>
      <c r="B11" s="1" t="s">
        <v>290</v>
      </c>
      <c r="C11" t="s">
        <v>34</v>
      </c>
      <c r="D11" t="s">
        <v>180</v>
      </c>
      <c r="E11" t="s">
        <v>181</v>
      </c>
      <c r="F11" t="s">
        <v>58</v>
      </c>
      <c r="G11" t="s">
        <v>180</v>
      </c>
      <c r="H11" t="s">
        <v>37</v>
      </c>
      <c r="I11" t="s">
        <v>38</v>
      </c>
      <c r="J11" t="s">
        <v>40</v>
      </c>
      <c r="K11" t="s">
        <v>40</v>
      </c>
      <c r="L11" t="s">
        <v>40</v>
      </c>
      <c r="M11" t="s">
        <v>37</v>
      </c>
      <c r="N11" t="s">
        <v>41</v>
      </c>
      <c r="O11" t="s">
        <v>37</v>
      </c>
      <c r="P11" t="s">
        <v>41</v>
      </c>
      <c r="Q11" t="s">
        <v>41</v>
      </c>
      <c r="R11" t="s">
        <v>42</v>
      </c>
      <c r="S11" t="s">
        <v>40</v>
      </c>
      <c r="T11" t="s">
        <v>182</v>
      </c>
    </row>
    <row r="12" spans="1:22" x14ac:dyDescent="0.3">
      <c r="A12" s="1" t="s">
        <v>209</v>
      </c>
      <c r="B12" s="1" t="s">
        <v>122</v>
      </c>
      <c r="C12" t="s">
        <v>176</v>
      </c>
      <c r="D12" t="s">
        <v>80</v>
      </c>
      <c r="E12" t="s">
        <v>210</v>
      </c>
      <c r="F12" t="s">
        <v>104</v>
      </c>
      <c r="G12" t="s">
        <v>111</v>
      </c>
      <c r="H12" t="s">
        <v>37</v>
      </c>
      <c r="I12" t="s">
        <v>38</v>
      </c>
      <c r="J12" t="s">
        <v>39</v>
      </c>
      <c r="K12" t="s">
        <v>37</v>
      </c>
      <c r="L12" t="s">
        <v>40</v>
      </c>
      <c r="M12" t="s">
        <v>40</v>
      </c>
      <c r="N12" t="s">
        <v>37</v>
      </c>
      <c r="O12" t="s">
        <v>37</v>
      </c>
      <c r="P12" t="s">
        <v>37</v>
      </c>
      <c r="Q12" t="s">
        <v>40</v>
      </c>
      <c r="R12" t="s">
        <v>88</v>
      </c>
      <c r="S12" t="s">
        <v>40</v>
      </c>
      <c r="T12" t="s">
        <v>211</v>
      </c>
    </row>
    <row r="13" spans="1:22" x14ac:dyDescent="0.3">
      <c r="A13" s="1" t="s">
        <v>127</v>
      </c>
      <c r="B13" s="1" t="s">
        <v>128</v>
      </c>
      <c r="C13" t="s">
        <v>129</v>
      </c>
      <c r="D13" t="s">
        <v>130</v>
      </c>
      <c r="E13" t="s">
        <v>136</v>
      </c>
      <c r="F13" t="s">
        <v>58</v>
      </c>
      <c r="G13" t="s">
        <v>117</v>
      </c>
      <c r="H13" t="s">
        <v>37</v>
      </c>
      <c r="I13" t="s">
        <v>38</v>
      </c>
      <c r="J13" t="s">
        <v>40</v>
      </c>
      <c r="K13" t="s">
        <v>40</v>
      </c>
      <c r="L13" t="s">
        <v>40</v>
      </c>
      <c r="M13" t="s">
        <v>40</v>
      </c>
      <c r="N13" t="s">
        <v>37</v>
      </c>
      <c r="O13" t="s">
        <v>37</v>
      </c>
      <c r="P13" t="s">
        <v>37</v>
      </c>
      <c r="Q13" t="s">
        <v>40</v>
      </c>
      <c r="R13" t="s">
        <v>97</v>
      </c>
      <c r="S13" t="s">
        <v>41</v>
      </c>
      <c r="T13" t="s">
        <v>132</v>
      </c>
    </row>
    <row r="14" spans="1:22" x14ac:dyDescent="0.3">
      <c r="A14" s="1" t="s">
        <v>218</v>
      </c>
      <c r="B14" s="1" t="s">
        <v>18</v>
      </c>
      <c r="C14" s="2" t="s">
        <v>34</v>
      </c>
      <c r="D14" t="s">
        <v>200</v>
      </c>
      <c r="E14" t="s">
        <v>219</v>
      </c>
      <c r="F14" t="s">
        <v>58</v>
      </c>
      <c r="G14" t="s">
        <v>49</v>
      </c>
      <c r="H14" t="s">
        <v>37</v>
      </c>
      <c r="I14" t="s">
        <v>38</v>
      </c>
      <c r="J14" t="s">
        <v>39</v>
      </c>
      <c r="K14" t="s">
        <v>37</v>
      </c>
      <c r="L14" t="s">
        <v>37</v>
      </c>
      <c r="M14" t="s">
        <v>37</v>
      </c>
      <c r="N14" t="s">
        <v>40</v>
      </c>
      <c r="O14" t="s">
        <v>37</v>
      </c>
      <c r="P14" t="s">
        <v>41</v>
      </c>
      <c r="Q14" t="s">
        <v>37</v>
      </c>
      <c r="R14" t="s">
        <v>42</v>
      </c>
      <c r="S14" t="s">
        <v>40</v>
      </c>
      <c r="T14" t="s">
        <v>220</v>
      </c>
      <c r="U14" s="1">
        <v>1</v>
      </c>
      <c r="V14" s="1">
        <v>1</v>
      </c>
    </row>
    <row r="15" spans="1:22" x14ac:dyDescent="0.3">
      <c r="A15" s="1" t="s">
        <v>44</v>
      </c>
      <c r="B15" s="1" t="s">
        <v>45</v>
      </c>
      <c r="C15" t="s">
        <v>46</v>
      </c>
      <c r="D15" t="s">
        <v>47</v>
      </c>
      <c r="E15" t="s">
        <v>131</v>
      </c>
      <c r="F15" t="s">
        <v>28</v>
      </c>
      <c r="G15" t="s">
        <v>49</v>
      </c>
      <c r="H15" t="s">
        <v>37</v>
      </c>
      <c r="I15" t="s">
        <v>38</v>
      </c>
      <c r="J15" t="s">
        <v>50</v>
      </c>
      <c r="K15" t="s">
        <v>37</v>
      </c>
      <c r="L15" t="s">
        <v>37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51</v>
      </c>
      <c r="S15" t="s">
        <v>40</v>
      </c>
      <c r="T15" t="s">
        <v>52</v>
      </c>
      <c r="U15" s="1">
        <v>1</v>
      </c>
      <c r="V15" s="1">
        <v>2</v>
      </c>
    </row>
    <row r="16" spans="1:22" x14ac:dyDescent="0.3">
      <c r="A16" s="1" t="s">
        <v>153</v>
      </c>
      <c r="B16" s="1" t="s">
        <v>18</v>
      </c>
      <c r="C16" t="s">
        <v>154</v>
      </c>
      <c r="D16" t="s">
        <v>155</v>
      </c>
      <c r="E16" t="s">
        <v>156</v>
      </c>
      <c r="F16" t="s">
        <v>58</v>
      </c>
      <c r="G16" t="s">
        <v>49</v>
      </c>
      <c r="H16" t="s">
        <v>37</v>
      </c>
      <c r="I16" t="s">
        <v>157</v>
      </c>
      <c r="J16" t="s">
        <v>39</v>
      </c>
      <c r="K16" t="s">
        <v>37</v>
      </c>
      <c r="L16" t="s">
        <v>40</v>
      </c>
      <c r="M16" t="s">
        <v>37</v>
      </c>
      <c r="N16" t="s">
        <v>40</v>
      </c>
      <c r="O16" t="s">
        <v>37</v>
      </c>
      <c r="P16" t="s">
        <v>41</v>
      </c>
      <c r="Q16" t="s">
        <v>37</v>
      </c>
      <c r="R16" t="s">
        <v>42</v>
      </c>
      <c r="S16" t="s">
        <v>40</v>
      </c>
      <c r="T16" t="s">
        <v>158</v>
      </c>
    </row>
    <row r="17" spans="1:22" x14ac:dyDescent="0.3">
      <c r="A17" s="1" t="s">
        <v>169</v>
      </c>
      <c r="B17" s="1" t="s">
        <v>170</v>
      </c>
      <c r="C17" t="s">
        <v>171</v>
      </c>
      <c r="D17" t="s">
        <v>172</v>
      </c>
      <c r="E17" t="s">
        <v>173</v>
      </c>
      <c r="F17" t="s">
        <v>82</v>
      </c>
      <c r="G17" t="s">
        <v>145</v>
      </c>
      <c r="H17" t="s">
        <v>37</v>
      </c>
      <c r="I17" t="s">
        <v>38</v>
      </c>
      <c r="J17" t="s">
        <v>50</v>
      </c>
      <c r="K17" t="s">
        <v>37</v>
      </c>
      <c r="L17" t="s">
        <v>41</v>
      </c>
      <c r="M17" t="s">
        <v>41</v>
      </c>
      <c r="N17" t="s">
        <v>40</v>
      </c>
      <c r="O17" t="s">
        <v>37</v>
      </c>
      <c r="P17" t="s">
        <v>41</v>
      </c>
      <c r="Q17" t="s">
        <v>40</v>
      </c>
      <c r="R17" t="s">
        <v>88</v>
      </c>
      <c r="S17" t="s">
        <v>41</v>
      </c>
      <c r="T17" t="s">
        <v>174</v>
      </c>
    </row>
    <row r="18" spans="1:22" x14ac:dyDescent="0.3">
      <c r="A18" s="1" t="s">
        <v>33</v>
      </c>
      <c r="B18" s="1" t="s">
        <v>18</v>
      </c>
      <c r="C18" t="s">
        <v>34</v>
      </c>
      <c r="D18" t="s">
        <v>35</v>
      </c>
      <c r="E18" t="s">
        <v>48</v>
      </c>
      <c r="F18" t="s">
        <v>28</v>
      </c>
      <c r="G18" t="s">
        <v>36</v>
      </c>
      <c r="H18" t="s">
        <v>37</v>
      </c>
      <c r="I18" t="s">
        <v>38</v>
      </c>
      <c r="J18" t="s">
        <v>39</v>
      </c>
      <c r="K18" t="s">
        <v>37</v>
      </c>
      <c r="L18" t="s">
        <v>37</v>
      </c>
      <c r="M18" t="s">
        <v>40</v>
      </c>
      <c r="N18" t="s">
        <v>41</v>
      </c>
      <c r="O18" t="s">
        <v>37</v>
      </c>
      <c r="P18" t="s">
        <v>41</v>
      </c>
      <c r="Q18" t="s">
        <v>40</v>
      </c>
      <c r="R18" t="s">
        <v>42</v>
      </c>
      <c r="S18" t="s">
        <v>40</v>
      </c>
      <c r="T18" t="s">
        <v>43</v>
      </c>
      <c r="U18" s="1">
        <v>1</v>
      </c>
      <c r="V18" s="1">
        <v>1</v>
      </c>
    </row>
    <row r="19" spans="1:22" x14ac:dyDescent="0.3">
      <c r="A19" s="1" t="s">
        <v>206</v>
      </c>
      <c r="B19" s="1" t="s">
        <v>18</v>
      </c>
      <c r="C19" t="s">
        <v>34</v>
      </c>
      <c r="D19" t="s">
        <v>130</v>
      </c>
      <c r="E19" t="s">
        <v>207</v>
      </c>
      <c r="F19" t="s">
        <v>58</v>
      </c>
      <c r="G19" t="s">
        <v>49</v>
      </c>
      <c r="H19" t="s">
        <v>37</v>
      </c>
      <c r="I19" t="s">
        <v>157</v>
      </c>
      <c r="J19" t="s">
        <v>39</v>
      </c>
      <c r="K19" t="s">
        <v>37</v>
      </c>
      <c r="L19" t="s">
        <v>40</v>
      </c>
      <c r="M19" t="s">
        <v>37</v>
      </c>
      <c r="N19" t="s">
        <v>40</v>
      </c>
      <c r="O19" t="s">
        <v>37</v>
      </c>
      <c r="P19" t="s">
        <v>41</v>
      </c>
      <c r="Q19" t="s">
        <v>40</v>
      </c>
      <c r="R19" t="s">
        <v>42</v>
      </c>
      <c r="S19" t="s">
        <v>40</v>
      </c>
      <c r="T19" t="s">
        <v>208</v>
      </c>
    </row>
    <row r="20" spans="1:22" x14ac:dyDescent="0.3">
      <c r="A20" s="1" t="s">
        <v>108</v>
      </c>
      <c r="B20" s="1" t="s">
        <v>309</v>
      </c>
      <c r="C20" t="s">
        <v>109</v>
      </c>
      <c r="D20" s="2" t="s">
        <v>63</v>
      </c>
      <c r="E20" t="s">
        <v>110</v>
      </c>
      <c r="F20" t="s">
        <v>104</v>
      </c>
      <c r="G20" t="s">
        <v>111</v>
      </c>
      <c r="H20" t="s">
        <v>119</v>
      </c>
      <c r="I20" t="s">
        <v>38</v>
      </c>
      <c r="J20" t="s">
        <v>50</v>
      </c>
      <c r="K20" t="s">
        <v>37</v>
      </c>
      <c r="L20" t="s">
        <v>37</v>
      </c>
      <c r="M20" t="s">
        <v>41</v>
      </c>
      <c r="N20" t="s">
        <v>40</v>
      </c>
      <c r="O20" t="s">
        <v>37</v>
      </c>
      <c r="P20" t="s">
        <v>37</v>
      </c>
      <c r="Q20" t="s">
        <v>41</v>
      </c>
      <c r="R20" t="s">
        <v>88</v>
      </c>
      <c r="S20" t="s">
        <v>40</v>
      </c>
      <c r="T20" t="s">
        <v>112</v>
      </c>
    </row>
    <row r="21" spans="1:22" x14ac:dyDescent="0.3">
      <c r="A21" s="1" t="s">
        <v>221</v>
      </c>
      <c r="B21" s="1" t="s">
        <v>310</v>
      </c>
      <c r="C21" t="s">
        <v>222</v>
      </c>
      <c r="D21" t="s">
        <v>80</v>
      </c>
      <c r="E21" t="s">
        <v>223</v>
      </c>
      <c r="F21" t="s">
        <v>65</v>
      </c>
      <c r="G21" t="s">
        <v>49</v>
      </c>
      <c r="H21" t="s">
        <v>37</v>
      </c>
      <c r="I21" t="s">
        <v>38</v>
      </c>
      <c r="J21" t="s">
        <v>39</v>
      </c>
      <c r="K21" t="s">
        <v>41</v>
      </c>
      <c r="L21" t="s">
        <v>37</v>
      </c>
      <c r="M21" t="s">
        <v>41</v>
      </c>
      <c r="N21" t="s">
        <v>37</v>
      </c>
      <c r="O21" t="s">
        <v>37</v>
      </c>
      <c r="P21" t="s">
        <v>37</v>
      </c>
      <c r="Q21" t="s">
        <v>40</v>
      </c>
      <c r="R21" t="s">
        <v>88</v>
      </c>
      <c r="S21" t="s">
        <v>40</v>
      </c>
      <c r="T21" t="s">
        <v>224</v>
      </c>
    </row>
    <row r="22" spans="1:22" x14ac:dyDescent="0.3">
      <c r="A22" s="1" t="s">
        <v>70</v>
      </c>
      <c r="B22" s="1" t="s">
        <v>54</v>
      </c>
      <c r="C22" t="s">
        <v>55</v>
      </c>
      <c r="D22" t="s">
        <v>68</v>
      </c>
      <c r="E22" t="s">
        <v>71</v>
      </c>
      <c r="F22" t="s">
        <v>58</v>
      </c>
      <c r="G22" t="s">
        <v>49</v>
      </c>
      <c r="H22" t="s">
        <v>37</v>
      </c>
      <c r="I22" t="s">
        <v>38</v>
      </c>
      <c r="J22" t="s">
        <v>39</v>
      </c>
      <c r="K22" t="s">
        <v>37</v>
      </c>
      <c r="L22" t="s">
        <v>41</v>
      </c>
      <c r="M22" t="s">
        <v>40</v>
      </c>
      <c r="N22" t="s">
        <v>40</v>
      </c>
      <c r="O22" t="s">
        <v>37</v>
      </c>
      <c r="P22" t="s">
        <v>41</v>
      </c>
      <c r="Q22" t="s">
        <v>41</v>
      </c>
      <c r="R22" t="s">
        <v>42</v>
      </c>
      <c r="S22" t="s">
        <v>41</v>
      </c>
      <c r="T22" t="s">
        <v>72</v>
      </c>
    </row>
    <row r="23" spans="1:22" x14ac:dyDescent="0.3">
      <c r="A23" s="1" t="s">
        <v>159</v>
      </c>
      <c r="B23" s="1" t="s">
        <v>78</v>
      </c>
      <c r="C23" t="s">
        <v>160</v>
      </c>
      <c r="D23" t="s">
        <v>124</v>
      </c>
      <c r="E23" t="s">
        <v>161</v>
      </c>
      <c r="F23" t="s">
        <v>58</v>
      </c>
      <c r="G23" t="s">
        <v>49</v>
      </c>
      <c r="H23" t="s">
        <v>37</v>
      </c>
      <c r="I23" t="s">
        <v>38</v>
      </c>
      <c r="J23" t="s">
        <v>39</v>
      </c>
      <c r="K23" t="s">
        <v>37</v>
      </c>
      <c r="L23" t="s">
        <v>41</v>
      </c>
      <c r="M23" t="s">
        <v>40</v>
      </c>
      <c r="N23" t="s">
        <v>37</v>
      </c>
      <c r="O23" t="s">
        <v>37</v>
      </c>
      <c r="P23" t="s">
        <v>37</v>
      </c>
      <c r="Q23" t="s">
        <v>40</v>
      </c>
      <c r="R23" t="s">
        <v>88</v>
      </c>
      <c r="S23" t="s">
        <v>41</v>
      </c>
      <c r="T23" t="s">
        <v>162</v>
      </c>
    </row>
    <row r="24" spans="1:22" x14ac:dyDescent="0.3">
      <c r="A24" s="1" t="s">
        <v>61</v>
      </c>
      <c r="B24" s="1" t="s">
        <v>311</v>
      </c>
      <c r="C24" t="s">
        <v>62</v>
      </c>
      <c r="D24" t="s">
        <v>63</v>
      </c>
      <c r="E24" t="s">
        <v>64</v>
      </c>
      <c r="F24" t="s">
        <v>65</v>
      </c>
      <c r="G24" t="s">
        <v>49</v>
      </c>
      <c r="H24" t="s">
        <v>66</v>
      </c>
      <c r="I24" t="s">
        <v>38</v>
      </c>
      <c r="J24" t="s">
        <v>50</v>
      </c>
      <c r="K24" t="s">
        <v>41</v>
      </c>
      <c r="L24" t="s">
        <v>37</v>
      </c>
      <c r="M24" t="s">
        <v>41</v>
      </c>
      <c r="N24" t="s">
        <v>40</v>
      </c>
      <c r="O24" t="s">
        <v>37</v>
      </c>
      <c r="P24" t="s">
        <v>37</v>
      </c>
      <c r="Q24" t="s">
        <v>41</v>
      </c>
      <c r="R24" t="s">
        <v>42</v>
      </c>
      <c r="S24" t="s">
        <v>40</v>
      </c>
      <c r="T24" t="s">
        <v>67</v>
      </c>
    </row>
    <row r="25" spans="1:22" x14ac:dyDescent="0.3">
      <c r="A25" s="1" t="s">
        <v>84</v>
      </c>
      <c r="B25" s="1" t="s">
        <v>85</v>
      </c>
      <c r="C25" t="s">
        <v>86</v>
      </c>
      <c r="D25" t="s">
        <v>80</v>
      </c>
      <c r="E25" t="s">
        <v>87</v>
      </c>
      <c r="F25" t="s">
        <v>58</v>
      </c>
      <c r="G25" t="s">
        <v>49</v>
      </c>
      <c r="H25" t="s">
        <v>37</v>
      </c>
      <c r="I25" t="s">
        <v>38</v>
      </c>
      <c r="J25" t="s">
        <v>40</v>
      </c>
      <c r="K25" t="s">
        <v>37</v>
      </c>
      <c r="L25" t="s">
        <v>41</v>
      </c>
      <c r="M25" t="s">
        <v>40</v>
      </c>
      <c r="N25" t="s">
        <v>37</v>
      </c>
      <c r="O25" t="s">
        <v>37</v>
      </c>
      <c r="P25" t="s">
        <v>37</v>
      </c>
      <c r="Q25" t="s">
        <v>41</v>
      </c>
      <c r="R25" t="s">
        <v>88</v>
      </c>
      <c r="S25" t="s">
        <v>41</v>
      </c>
      <c r="T25" t="s">
        <v>89</v>
      </c>
    </row>
    <row r="26" spans="1:22" x14ac:dyDescent="0.3">
      <c r="A26" s="1" t="s">
        <v>212</v>
      </c>
      <c r="B26" s="1" t="s">
        <v>122</v>
      </c>
      <c r="C26" t="s">
        <v>79</v>
      </c>
      <c r="D26" t="s">
        <v>80</v>
      </c>
      <c r="E26" t="s">
        <v>213</v>
      </c>
      <c r="F26" t="s">
        <v>58</v>
      </c>
      <c r="G26" t="s">
        <v>49</v>
      </c>
      <c r="H26" t="s">
        <v>37</v>
      </c>
      <c r="I26" t="s">
        <v>38</v>
      </c>
      <c r="J26" t="s">
        <v>50</v>
      </c>
      <c r="K26" t="s">
        <v>37</v>
      </c>
      <c r="L26" t="s">
        <v>41</v>
      </c>
      <c r="M26" t="s">
        <v>40</v>
      </c>
      <c r="N26" t="s">
        <v>41</v>
      </c>
      <c r="O26" t="s">
        <v>41</v>
      </c>
      <c r="P26" t="s">
        <v>41</v>
      </c>
      <c r="Q26" t="s">
        <v>41</v>
      </c>
      <c r="R26" t="s">
        <v>88</v>
      </c>
      <c r="S26" t="s">
        <v>41</v>
      </c>
      <c r="T26" t="s">
        <v>214</v>
      </c>
    </row>
    <row r="27" spans="1:22" x14ac:dyDescent="0.3">
      <c r="A27" s="1" t="s">
        <v>141</v>
      </c>
      <c r="B27" s="1" t="s">
        <v>142</v>
      </c>
      <c r="C27" t="s">
        <v>143</v>
      </c>
      <c r="D27" t="s">
        <v>80</v>
      </c>
      <c r="E27" t="s">
        <v>144</v>
      </c>
      <c r="F27" t="s">
        <v>82</v>
      </c>
      <c r="G27" t="s">
        <v>145</v>
      </c>
      <c r="H27" t="s">
        <v>37</v>
      </c>
      <c r="I27" t="s">
        <v>38</v>
      </c>
      <c r="J27" t="s">
        <v>50</v>
      </c>
      <c r="K27" t="s">
        <v>40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88</v>
      </c>
      <c r="S27" t="s">
        <v>41</v>
      </c>
      <c r="T27" t="s">
        <v>146</v>
      </c>
    </row>
    <row r="28" spans="1:22" x14ac:dyDescent="0.3">
      <c r="A28" s="1" t="s">
        <v>77</v>
      </c>
      <c r="B28" s="1" t="s">
        <v>78</v>
      </c>
      <c r="C28" t="s">
        <v>79</v>
      </c>
      <c r="D28" t="s">
        <v>80</v>
      </c>
      <c r="E28" t="s">
        <v>81</v>
      </c>
      <c r="F28" t="s">
        <v>82</v>
      </c>
      <c r="G28" t="s">
        <v>49</v>
      </c>
      <c r="H28" t="s">
        <v>37</v>
      </c>
      <c r="I28" t="s">
        <v>38</v>
      </c>
      <c r="J28" t="s">
        <v>50</v>
      </c>
      <c r="K28" t="s">
        <v>37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42</v>
      </c>
      <c r="S28" t="s">
        <v>41</v>
      </c>
      <c r="T28" t="s">
        <v>83</v>
      </c>
    </row>
    <row r="29" spans="1:22" x14ac:dyDescent="0.3">
      <c r="A29" s="1" t="s">
        <v>53</v>
      </c>
      <c r="B29" s="1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36</v>
      </c>
      <c r="H29" t="s">
        <v>37</v>
      </c>
      <c r="I29" t="s">
        <v>59</v>
      </c>
      <c r="J29" t="s">
        <v>39</v>
      </c>
      <c r="K29" t="s">
        <v>37</v>
      </c>
      <c r="L29" t="s">
        <v>41</v>
      </c>
      <c r="M29" t="s">
        <v>40</v>
      </c>
      <c r="N29" t="s">
        <v>41</v>
      </c>
      <c r="O29" t="s">
        <v>37</v>
      </c>
      <c r="P29" t="s">
        <v>41</v>
      </c>
      <c r="Q29" t="s">
        <v>40</v>
      </c>
      <c r="R29" t="s">
        <v>42</v>
      </c>
      <c r="S29" t="s">
        <v>41</v>
      </c>
      <c r="T29" t="s">
        <v>60</v>
      </c>
    </row>
    <row r="30" spans="1:22" x14ac:dyDescent="0.3">
      <c r="A30" s="1" t="s">
        <v>93</v>
      </c>
      <c r="B30" s="1" t="s">
        <v>45</v>
      </c>
      <c r="C30" t="s">
        <v>94</v>
      </c>
      <c r="D30" t="s">
        <v>102</v>
      </c>
      <c r="E30" t="s">
        <v>95</v>
      </c>
      <c r="F30" t="s">
        <v>58</v>
      </c>
      <c r="G30" t="s">
        <v>96</v>
      </c>
      <c r="H30" t="s">
        <v>37</v>
      </c>
      <c r="I30" t="s">
        <v>38</v>
      </c>
      <c r="J30" t="s">
        <v>39</v>
      </c>
      <c r="K30" t="s">
        <v>41</v>
      </c>
      <c r="L30" t="s">
        <v>41</v>
      </c>
      <c r="M30" t="s">
        <v>40</v>
      </c>
      <c r="N30" t="s">
        <v>40</v>
      </c>
      <c r="O30" t="s">
        <v>37</v>
      </c>
      <c r="P30" t="s">
        <v>40</v>
      </c>
      <c r="Q30" t="s">
        <v>40</v>
      </c>
      <c r="R30" t="s">
        <v>97</v>
      </c>
      <c r="S30" t="s">
        <v>41</v>
      </c>
      <c r="T30" t="s">
        <v>98</v>
      </c>
    </row>
    <row r="31" spans="1:22" x14ac:dyDescent="0.3">
      <c r="A31" s="1" t="s">
        <v>183</v>
      </c>
      <c r="B31" s="1" t="s">
        <v>184</v>
      </c>
      <c r="C31" t="s">
        <v>185</v>
      </c>
      <c r="D31" t="s">
        <v>186</v>
      </c>
      <c r="E31" t="s">
        <v>187</v>
      </c>
      <c r="F31" t="s">
        <v>104</v>
      </c>
      <c r="G31" t="s">
        <v>188</v>
      </c>
      <c r="H31" t="s">
        <v>37</v>
      </c>
      <c r="I31" t="s">
        <v>157</v>
      </c>
      <c r="J31" t="s">
        <v>40</v>
      </c>
      <c r="K31" t="s">
        <v>40</v>
      </c>
      <c r="L31" t="s">
        <v>41</v>
      </c>
      <c r="M31" t="s">
        <v>41</v>
      </c>
      <c r="N31" t="s">
        <v>37</v>
      </c>
      <c r="O31" t="s">
        <v>37</v>
      </c>
      <c r="P31" t="s">
        <v>37</v>
      </c>
      <c r="Q31" t="s">
        <v>40</v>
      </c>
      <c r="R31" t="s">
        <v>88</v>
      </c>
      <c r="S31" t="s">
        <v>41</v>
      </c>
      <c r="T31" t="s">
        <v>189</v>
      </c>
    </row>
    <row r="32" spans="1:22" x14ac:dyDescent="0.3">
      <c r="A32" s="1" t="s">
        <v>99</v>
      </c>
      <c r="B32" s="1" t="s">
        <v>18</v>
      </c>
      <c r="C32" t="s">
        <v>100</v>
      </c>
      <c r="D32" t="s">
        <v>101</v>
      </c>
      <c r="E32" t="s">
        <v>103</v>
      </c>
      <c r="F32" t="s">
        <v>104</v>
      </c>
      <c r="G32" t="s">
        <v>105</v>
      </c>
      <c r="H32" t="s">
        <v>37</v>
      </c>
      <c r="I32" t="s">
        <v>59</v>
      </c>
      <c r="J32" t="s">
        <v>40</v>
      </c>
      <c r="K32" t="s">
        <v>41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40</v>
      </c>
      <c r="R32" t="s">
        <v>106</v>
      </c>
      <c r="S32" t="s">
        <v>40</v>
      </c>
      <c r="T32" t="s">
        <v>107</v>
      </c>
    </row>
    <row r="33" spans="1:22" x14ac:dyDescent="0.3">
      <c r="A33" s="1" t="s">
        <v>133</v>
      </c>
      <c r="B33" s="1" t="s">
        <v>18</v>
      </c>
      <c r="C33" t="s">
        <v>134</v>
      </c>
      <c r="D33" t="s">
        <v>135</v>
      </c>
      <c r="E33" t="s">
        <v>137</v>
      </c>
      <c r="F33" t="s">
        <v>138</v>
      </c>
      <c r="G33" t="s">
        <v>139</v>
      </c>
      <c r="H33" t="s">
        <v>37</v>
      </c>
      <c r="I33" t="s">
        <v>38</v>
      </c>
      <c r="J33" t="s">
        <v>40</v>
      </c>
      <c r="K33" t="s">
        <v>40</v>
      </c>
      <c r="L33" t="s">
        <v>41</v>
      </c>
      <c r="M33" t="s">
        <v>41</v>
      </c>
      <c r="N33" t="s">
        <v>41</v>
      </c>
      <c r="O33" t="s">
        <v>37</v>
      </c>
      <c r="P33" t="s">
        <v>37</v>
      </c>
      <c r="Q33" t="s">
        <v>40</v>
      </c>
      <c r="R33" t="s">
        <v>42</v>
      </c>
      <c r="S33" t="s">
        <v>41</v>
      </c>
      <c r="T33" t="s">
        <v>140</v>
      </c>
    </row>
    <row r="34" spans="1:22" x14ac:dyDescent="0.3">
      <c r="A34" s="1" t="s">
        <v>90</v>
      </c>
      <c r="B34" s="1" t="s">
        <v>45</v>
      </c>
      <c r="C34" t="s">
        <v>34</v>
      </c>
      <c r="D34" t="s">
        <v>68</v>
      </c>
      <c r="E34" t="s">
        <v>91</v>
      </c>
      <c r="F34" t="s">
        <v>58</v>
      </c>
      <c r="G34" t="s">
        <v>49</v>
      </c>
      <c r="H34" t="s">
        <v>37</v>
      </c>
      <c r="I34" t="s">
        <v>38</v>
      </c>
      <c r="J34" t="s">
        <v>39</v>
      </c>
      <c r="K34" t="s">
        <v>37</v>
      </c>
      <c r="L34" t="s">
        <v>41</v>
      </c>
      <c r="M34" t="s">
        <v>40</v>
      </c>
      <c r="N34" t="s">
        <v>41</v>
      </c>
      <c r="O34" t="s">
        <v>40</v>
      </c>
      <c r="P34" t="s">
        <v>41</v>
      </c>
      <c r="Q34" t="s">
        <v>41</v>
      </c>
      <c r="R34" t="s">
        <v>42</v>
      </c>
      <c r="S34" t="s">
        <v>41</v>
      </c>
      <c r="T34" t="s">
        <v>92</v>
      </c>
    </row>
    <row r="35" spans="1:22" x14ac:dyDescent="0.3">
      <c r="A35" s="1" t="s">
        <v>121</v>
      </c>
      <c r="B35" s="1" t="s">
        <v>122</v>
      </c>
      <c r="C35" t="s">
        <v>123</v>
      </c>
      <c r="D35" t="s">
        <v>124</v>
      </c>
      <c r="E35" t="s">
        <v>125</v>
      </c>
      <c r="F35" t="s">
        <v>82</v>
      </c>
      <c r="G35" t="s">
        <v>117</v>
      </c>
      <c r="H35" t="s">
        <v>118</v>
      </c>
      <c r="I35" t="s">
        <v>38</v>
      </c>
      <c r="J35" t="s">
        <v>40</v>
      </c>
      <c r="K35" t="s">
        <v>41</v>
      </c>
      <c r="L35" t="s">
        <v>40</v>
      </c>
      <c r="M35" t="s">
        <v>41</v>
      </c>
      <c r="N35" t="s">
        <v>37</v>
      </c>
      <c r="O35" t="s">
        <v>37</v>
      </c>
      <c r="P35" t="s">
        <v>37</v>
      </c>
      <c r="Q35" t="s">
        <v>41</v>
      </c>
      <c r="R35" t="s">
        <v>42</v>
      </c>
      <c r="S35" t="s">
        <v>40</v>
      </c>
      <c r="T35" t="s">
        <v>126</v>
      </c>
    </row>
    <row r="36" spans="1:22" x14ac:dyDescent="0.3">
      <c r="A36" s="1" t="s">
        <v>113</v>
      </c>
      <c r="B36" s="1" t="s">
        <v>312</v>
      </c>
      <c r="C36" t="s">
        <v>114</v>
      </c>
      <c r="D36" s="2" t="s">
        <v>63</v>
      </c>
      <c r="E36" t="s">
        <v>116</v>
      </c>
      <c r="F36" t="s">
        <v>82</v>
      </c>
      <c r="G36" t="s">
        <v>117</v>
      </c>
      <c r="H36" t="s">
        <v>118</v>
      </c>
      <c r="I36" t="s">
        <v>38</v>
      </c>
      <c r="J36" t="s">
        <v>39</v>
      </c>
      <c r="K36" t="s">
        <v>40</v>
      </c>
      <c r="L36" t="s">
        <v>40</v>
      </c>
      <c r="M36" t="s">
        <v>41</v>
      </c>
      <c r="N36" t="s">
        <v>40</v>
      </c>
      <c r="O36" t="s">
        <v>37</v>
      </c>
      <c r="P36" t="s">
        <v>37</v>
      </c>
      <c r="Q36" t="s">
        <v>40</v>
      </c>
      <c r="R36" t="s">
        <v>88</v>
      </c>
      <c r="S36" t="s">
        <v>40</v>
      </c>
      <c r="T36" t="s">
        <v>120</v>
      </c>
    </row>
    <row r="37" spans="1:22" x14ac:dyDescent="0.3">
      <c r="A37" s="1" t="s">
        <v>163</v>
      </c>
      <c r="B37" s="1" t="s">
        <v>164</v>
      </c>
      <c r="C37" t="s">
        <v>165</v>
      </c>
      <c r="D37" t="s">
        <v>124</v>
      </c>
      <c r="E37" t="s">
        <v>166</v>
      </c>
      <c r="F37" t="s">
        <v>58</v>
      </c>
      <c r="G37" t="s">
        <v>49</v>
      </c>
      <c r="H37" t="s">
        <v>167</v>
      </c>
      <c r="I37" t="s">
        <v>38</v>
      </c>
      <c r="J37" t="s">
        <v>40</v>
      </c>
      <c r="K37" t="s">
        <v>37</v>
      </c>
      <c r="L37" t="s">
        <v>41</v>
      </c>
      <c r="M37" t="s">
        <v>40</v>
      </c>
      <c r="N37" t="s">
        <v>37</v>
      </c>
      <c r="O37" t="s">
        <v>37</v>
      </c>
      <c r="P37" t="s">
        <v>37</v>
      </c>
      <c r="Q37" t="s">
        <v>40</v>
      </c>
      <c r="R37" t="s">
        <v>42</v>
      </c>
      <c r="S37" t="s">
        <v>41</v>
      </c>
      <c r="T37" t="s">
        <v>168</v>
      </c>
    </row>
    <row r="38" spans="1:22" x14ac:dyDescent="0.3">
      <c r="A38" s="1" t="s">
        <v>225</v>
      </c>
      <c r="B38" s="1" t="s">
        <v>184</v>
      </c>
      <c r="C38" t="s">
        <v>226</v>
      </c>
      <c r="D38" t="s">
        <v>227</v>
      </c>
      <c r="E38" t="s">
        <v>228</v>
      </c>
      <c r="F38" t="s">
        <v>58</v>
      </c>
      <c r="G38" t="s">
        <v>49</v>
      </c>
      <c r="H38" t="s">
        <v>37</v>
      </c>
      <c r="I38" t="s">
        <v>59</v>
      </c>
      <c r="J38" t="s">
        <v>40</v>
      </c>
      <c r="K38" t="s">
        <v>40</v>
      </c>
      <c r="L38" t="s">
        <v>37</v>
      </c>
      <c r="M38" t="s">
        <v>40</v>
      </c>
      <c r="N38" t="s">
        <v>41</v>
      </c>
      <c r="O38" t="s">
        <v>37</v>
      </c>
      <c r="P38" t="s">
        <v>41</v>
      </c>
      <c r="Q38" t="s">
        <v>40</v>
      </c>
      <c r="R38" t="s">
        <v>42</v>
      </c>
      <c r="S38" t="s">
        <v>40</v>
      </c>
      <c r="T38" t="s">
        <v>229</v>
      </c>
    </row>
    <row r="39" spans="1:22" x14ac:dyDescent="0.3">
      <c r="A39" s="1" t="s">
        <v>230</v>
      </c>
      <c r="B39" s="1" t="s">
        <v>45</v>
      </c>
      <c r="C39" t="s">
        <v>34</v>
      </c>
      <c r="D39" t="s">
        <v>231</v>
      </c>
      <c r="E39" t="s">
        <v>232</v>
      </c>
      <c r="F39" t="s">
        <v>104</v>
      </c>
      <c r="G39" t="s">
        <v>49</v>
      </c>
      <c r="H39" t="s">
        <v>37</v>
      </c>
      <c r="I39" t="s">
        <v>59</v>
      </c>
      <c r="J39" t="s">
        <v>39</v>
      </c>
      <c r="K39" t="s">
        <v>37</v>
      </c>
      <c r="L39" t="s">
        <v>37</v>
      </c>
      <c r="M39" t="s">
        <v>40</v>
      </c>
      <c r="N39" t="s">
        <v>41</v>
      </c>
      <c r="O39" t="s">
        <v>37</v>
      </c>
      <c r="P39" t="s">
        <v>41</v>
      </c>
      <c r="Q39" t="s">
        <v>40</v>
      </c>
      <c r="R39" t="s">
        <v>42</v>
      </c>
      <c r="S39" t="s">
        <v>40</v>
      </c>
      <c r="T39" t="s">
        <v>233</v>
      </c>
    </row>
    <row r="40" spans="1:22" x14ac:dyDescent="0.3">
      <c r="A40" s="1" t="s">
        <v>234</v>
      </c>
      <c r="B40" s="1" t="s">
        <v>122</v>
      </c>
      <c r="C40" t="s">
        <v>160</v>
      </c>
      <c r="D40" t="s">
        <v>124</v>
      </c>
      <c r="E40" t="s">
        <v>235</v>
      </c>
      <c r="F40" t="s">
        <v>58</v>
      </c>
      <c r="G40" t="s">
        <v>49</v>
      </c>
      <c r="H40" t="s">
        <v>236</v>
      </c>
      <c r="I40" t="s">
        <v>38</v>
      </c>
      <c r="J40" t="s">
        <v>39</v>
      </c>
      <c r="K40" t="s">
        <v>37</v>
      </c>
      <c r="L40" t="s">
        <v>41</v>
      </c>
      <c r="M40" t="s">
        <v>40</v>
      </c>
      <c r="N40" t="s">
        <v>37</v>
      </c>
      <c r="O40" t="s">
        <v>37</v>
      </c>
      <c r="P40" t="s">
        <v>37</v>
      </c>
      <c r="Q40" t="s">
        <v>40</v>
      </c>
      <c r="R40" t="s">
        <v>42</v>
      </c>
      <c r="S40" t="s">
        <v>41</v>
      </c>
      <c r="T40" t="s">
        <v>237</v>
      </c>
    </row>
    <row r="41" spans="1:22" x14ac:dyDescent="0.3">
      <c r="A41" s="1" t="s">
        <v>238</v>
      </c>
      <c r="B41" s="1" t="s">
        <v>78</v>
      </c>
      <c r="C41" t="s">
        <v>239</v>
      </c>
      <c r="D41" t="s">
        <v>124</v>
      </c>
      <c r="E41" t="s">
        <v>240</v>
      </c>
      <c r="F41" t="s">
        <v>58</v>
      </c>
      <c r="G41" t="s">
        <v>96</v>
      </c>
      <c r="H41" t="s">
        <v>167</v>
      </c>
      <c r="I41" t="s">
        <v>38</v>
      </c>
      <c r="J41" t="s">
        <v>39</v>
      </c>
      <c r="K41" t="s">
        <v>40</v>
      </c>
      <c r="L41" t="s">
        <v>41</v>
      </c>
      <c r="M41" t="s">
        <v>40</v>
      </c>
      <c r="N41" t="s">
        <v>37</v>
      </c>
      <c r="O41" t="s">
        <v>37</v>
      </c>
      <c r="P41" t="s">
        <v>37</v>
      </c>
      <c r="Q41" t="s">
        <v>40</v>
      </c>
      <c r="R41" t="s">
        <v>42</v>
      </c>
      <c r="S41" t="s">
        <v>41</v>
      </c>
      <c r="T41" t="s">
        <v>241</v>
      </c>
    </row>
    <row r="42" spans="1:22" x14ac:dyDescent="0.3">
      <c r="A42" s="1" t="s">
        <v>242</v>
      </c>
      <c r="B42" s="1" t="s">
        <v>308</v>
      </c>
      <c r="C42" t="s">
        <v>243</v>
      </c>
      <c r="D42" t="s">
        <v>135</v>
      </c>
      <c r="E42" t="s">
        <v>244</v>
      </c>
      <c r="F42" t="s">
        <v>138</v>
      </c>
      <c r="G42" t="s">
        <v>139</v>
      </c>
      <c r="H42" t="s">
        <v>37</v>
      </c>
      <c r="I42" t="s">
        <v>38</v>
      </c>
      <c r="J42" t="s">
        <v>40</v>
      </c>
      <c r="K42" t="s">
        <v>40</v>
      </c>
      <c r="L42" t="s">
        <v>41</v>
      </c>
      <c r="M42" t="s">
        <v>41</v>
      </c>
      <c r="N42" t="s">
        <v>41</v>
      </c>
      <c r="O42" t="s">
        <v>37</v>
      </c>
      <c r="P42" t="s">
        <v>37</v>
      </c>
      <c r="Q42" t="s">
        <v>40</v>
      </c>
      <c r="R42" t="s">
        <v>42</v>
      </c>
      <c r="S42" t="s">
        <v>41</v>
      </c>
      <c r="T42" t="s">
        <v>245</v>
      </c>
    </row>
    <row r="43" spans="1:22" x14ac:dyDescent="0.3">
      <c r="A43" s="1" t="s">
        <v>246</v>
      </c>
      <c r="B43" s="1" t="s">
        <v>18</v>
      </c>
      <c r="C43" t="s">
        <v>34</v>
      </c>
      <c r="D43" t="s">
        <v>231</v>
      </c>
      <c r="E43" t="s">
        <v>247</v>
      </c>
      <c r="F43" t="s">
        <v>58</v>
      </c>
      <c r="G43" t="s">
        <v>49</v>
      </c>
      <c r="H43" t="s">
        <v>37</v>
      </c>
      <c r="I43" t="s">
        <v>38</v>
      </c>
      <c r="J43" t="s">
        <v>39</v>
      </c>
      <c r="K43" t="s">
        <v>37</v>
      </c>
      <c r="L43" t="s">
        <v>40</v>
      </c>
      <c r="M43" t="s">
        <v>37</v>
      </c>
      <c r="N43" t="s">
        <v>40</v>
      </c>
      <c r="O43" t="s">
        <v>37</v>
      </c>
      <c r="P43" t="s">
        <v>41</v>
      </c>
      <c r="Q43" t="s">
        <v>40</v>
      </c>
      <c r="R43" t="s">
        <v>42</v>
      </c>
      <c r="S43" t="s">
        <v>40</v>
      </c>
      <c r="T43" t="s">
        <v>248</v>
      </c>
      <c r="U43" s="1">
        <v>1</v>
      </c>
      <c r="V43" s="1">
        <v>1</v>
      </c>
    </row>
    <row r="44" spans="1:22" x14ac:dyDescent="0.3">
      <c r="A44" s="1" t="s">
        <v>249</v>
      </c>
      <c r="B44" s="1" t="s">
        <v>142</v>
      </c>
      <c r="C44" t="s">
        <v>250</v>
      </c>
      <c r="D44" t="s">
        <v>172</v>
      </c>
      <c r="E44" t="s">
        <v>251</v>
      </c>
      <c r="F44" t="s">
        <v>58</v>
      </c>
      <c r="G44" t="s">
        <v>49</v>
      </c>
      <c r="H44" t="s">
        <v>37</v>
      </c>
      <c r="I44" t="s">
        <v>38</v>
      </c>
      <c r="J44" t="s">
        <v>39</v>
      </c>
      <c r="K44" t="s">
        <v>40</v>
      </c>
      <c r="L44" t="s">
        <v>41</v>
      </c>
      <c r="M44" t="s">
        <v>40</v>
      </c>
      <c r="N44" t="s">
        <v>37</v>
      </c>
      <c r="O44" t="s">
        <v>37</v>
      </c>
      <c r="P44" t="s">
        <v>41</v>
      </c>
      <c r="Q44" t="s">
        <v>40</v>
      </c>
      <c r="R44" t="s">
        <v>252</v>
      </c>
      <c r="S44" t="s">
        <v>41</v>
      </c>
      <c r="T44" t="s">
        <v>253</v>
      </c>
    </row>
    <row r="45" spans="1:22" x14ac:dyDescent="0.3">
      <c r="A45" s="1" t="s">
        <v>254</v>
      </c>
      <c r="B45" s="1" t="s">
        <v>255</v>
      </c>
      <c r="C45" t="s">
        <v>55</v>
      </c>
      <c r="D45" t="s">
        <v>68</v>
      </c>
      <c r="E45" t="s">
        <v>256</v>
      </c>
      <c r="F45" t="s">
        <v>58</v>
      </c>
      <c r="G45" t="s">
        <v>49</v>
      </c>
      <c r="H45" t="s">
        <v>37</v>
      </c>
      <c r="I45" t="s">
        <v>59</v>
      </c>
      <c r="J45" t="s">
        <v>39</v>
      </c>
      <c r="K45" t="s">
        <v>37</v>
      </c>
      <c r="L45" t="s">
        <v>41</v>
      </c>
      <c r="M45" t="s">
        <v>40</v>
      </c>
      <c r="N45" t="s">
        <v>41</v>
      </c>
      <c r="O45" t="s">
        <v>37</v>
      </c>
      <c r="P45" t="s">
        <v>41</v>
      </c>
      <c r="Q45" t="s">
        <v>40</v>
      </c>
      <c r="R45" t="s">
        <v>42</v>
      </c>
      <c r="S45" t="s">
        <v>41</v>
      </c>
      <c r="T45" t="s">
        <v>257</v>
      </c>
    </row>
    <row r="46" spans="1:22" x14ac:dyDescent="0.3">
      <c r="A46" s="1" t="s">
        <v>258</v>
      </c>
      <c r="B46" s="1" t="s">
        <v>18</v>
      </c>
      <c r="C46" t="s">
        <v>34</v>
      </c>
      <c r="D46" t="s">
        <v>200</v>
      </c>
      <c r="E46" t="s">
        <v>259</v>
      </c>
      <c r="F46" t="s">
        <v>58</v>
      </c>
      <c r="G46" t="s">
        <v>49</v>
      </c>
      <c r="H46" t="s">
        <v>37</v>
      </c>
      <c r="I46" t="s">
        <v>38</v>
      </c>
      <c r="J46" t="s">
        <v>39</v>
      </c>
      <c r="K46" t="s">
        <v>37</v>
      </c>
      <c r="L46" t="s">
        <v>37</v>
      </c>
      <c r="M46" t="s">
        <v>40</v>
      </c>
      <c r="N46" t="s">
        <v>41</v>
      </c>
      <c r="O46" t="s">
        <v>37</v>
      </c>
      <c r="P46" t="s">
        <v>41</v>
      </c>
      <c r="Q46" t="s">
        <v>40</v>
      </c>
      <c r="R46" t="s">
        <v>42</v>
      </c>
      <c r="S46" t="s">
        <v>40</v>
      </c>
      <c r="T46" t="s">
        <v>260</v>
      </c>
      <c r="U46" s="1">
        <v>1</v>
      </c>
      <c r="V46" s="1">
        <v>1</v>
      </c>
    </row>
    <row r="47" spans="1:22" x14ac:dyDescent="0.3">
      <c r="A47" s="1" t="s">
        <v>261</v>
      </c>
      <c r="B47" s="1" t="s">
        <v>262</v>
      </c>
      <c r="C47" t="s">
        <v>263</v>
      </c>
      <c r="D47" t="s">
        <v>172</v>
      </c>
      <c r="E47" t="s">
        <v>264</v>
      </c>
      <c r="F47" t="s">
        <v>138</v>
      </c>
      <c r="G47" t="s">
        <v>49</v>
      </c>
      <c r="H47" t="s">
        <v>37</v>
      </c>
      <c r="I47" t="s">
        <v>38</v>
      </c>
      <c r="J47" t="s">
        <v>39</v>
      </c>
      <c r="K47" t="s">
        <v>41</v>
      </c>
      <c r="L47" t="s">
        <v>41</v>
      </c>
      <c r="M47" t="s">
        <v>40</v>
      </c>
      <c r="N47" t="s">
        <v>37</v>
      </c>
      <c r="O47" t="s">
        <v>37</v>
      </c>
      <c r="P47" t="s">
        <v>37</v>
      </c>
      <c r="Q47" t="s">
        <v>40</v>
      </c>
      <c r="R47" t="s">
        <v>88</v>
      </c>
      <c r="S47" t="s">
        <v>41</v>
      </c>
      <c r="T47" t="s">
        <v>265</v>
      </c>
    </row>
    <row r="48" spans="1:22" x14ac:dyDescent="0.3">
      <c r="A48" s="1" t="s">
        <v>266</v>
      </c>
      <c r="B48" s="1" t="s">
        <v>267</v>
      </c>
      <c r="C48" t="s">
        <v>268</v>
      </c>
      <c r="D48" t="s">
        <v>186</v>
      </c>
      <c r="E48" t="s">
        <v>269</v>
      </c>
      <c r="F48" t="s">
        <v>104</v>
      </c>
      <c r="G48" t="s">
        <v>49</v>
      </c>
      <c r="H48" t="s">
        <v>37</v>
      </c>
      <c r="I48" t="s">
        <v>157</v>
      </c>
      <c r="J48" t="s">
        <v>40</v>
      </c>
      <c r="K48" t="s">
        <v>41</v>
      </c>
      <c r="L48" t="s">
        <v>41</v>
      </c>
      <c r="M48" t="s">
        <v>40</v>
      </c>
      <c r="N48" t="s">
        <v>37</v>
      </c>
      <c r="O48" t="s">
        <v>37</v>
      </c>
      <c r="P48" t="s">
        <v>37</v>
      </c>
      <c r="Q48" t="s">
        <v>40</v>
      </c>
      <c r="R48" t="s">
        <v>88</v>
      </c>
      <c r="S48" t="s">
        <v>41</v>
      </c>
      <c r="T48" t="s">
        <v>270</v>
      </c>
    </row>
    <row r="49" spans="1:20" x14ac:dyDescent="0.3">
      <c r="A49" s="1" t="s">
        <v>271</v>
      </c>
      <c r="B49" s="1" t="s">
        <v>272</v>
      </c>
      <c r="C49" t="s">
        <v>79</v>
      </c>
      <c r="D49" t="s">
        <v>80</v>
      </c>
      <c r="E49" t="s">
        <v>273</v>
      </c>
      <c r="F49" t="s">
        <v>58</v>
      </c>
      <c r="G49" t="s">
        <v>49</v>
      </c>
      <c r="H49" t="s">
        <v>37</v>
      </c>
      <c r="I49" t="s">
        <v>38</v>
      </c>
      <c r="J49" t="s">
        <v>50</v>
      </c>
      <c r="K49" t="s">
        <v>37</v>
      </c>
      <c r="L49" t="s">
        <v>41</v>
      </c>
      <c r="M49" t="s">
        <v>40</v>
      </c>
      <c r="N49" t="s">
        <v>41</v>
      </c>
      <c r="O49" t="s">
        <v>41</v>
      </c>
      <c r="P49" t="s">
        <v>41</v>
      </c>
      <c r="Q49" t="s">
        <v>41</v>
      </c>
      <c r="R49" t="s">
        <v>88</v>
      </c>
      <c r="S49" t="s">
        <v>41</v>
      </c>
      <c r="T49" t="s">
        <v>274</v>
      </c>
    </row>
    <row r="50" spans="1:20" x14ac:dyDescent="0.3">
      <c r="A50" s="1" t="s">
        <v>275</v>
      </c>
      <c r="B50" s="1" t="s">
        <v>276</v>
      </c>
      <c r="C50" t="s">
        <v>34</v>
      </c>
      <c r="D50" t="s">
        <v>135</v>
      </c>
      <c r="E50" t="s">
        <v>277</v>
      </c>
      <c r="F50" t="s">
        <v>58</v>
      </c>
      <c r="G50" t="s">
        <v>278</v>
      </c>
      <c r="H50" t="s">
        <v>37</v>
      </c>
      <c r="I50" t="s">
        <v>38</v>
      </c>
      <c r="J50" t="s">
        <v>39</v>
      </c>
      <c r="K50" t="s">
        <v>37</v>
      </c>
      <c r="L50" t="s">
        <v>40</v>
      </c>
      <c r="M50" t="s">
        <v>37</v>
      </c>
      <c r="N50" t="s">
        <v>40</v>
      </c>
      <c r="O50" t="s">
        <v>37</v>
      </c>
      <c r="P50" t="s">
        <v>41</v>
      </c>
      <c r="Q50" t="s">
        <v>40</v>
      </c>
      <c r="R50" t="s">
        <v>42</v>
      </c>
      <c r="S50" t="s">
        <v>40</v>
      </c>
      <c r="T50" t="s">
        <v>279</v>
      </c>
    </row>
    <row r="51" spans="1:20" x14ac:dyDescent="0.3">
      <c r="A51" s="1" t="s">
        <v>280</v>
      </c>
      <c r="B51" s="1" t="s">
        <v>18</v>
      </c>
      <c r="C51" t="s">
        <v>281</v>
      </c>
      <c r="D51" t="s">
        <v>282</v>
      </c>
      <c r="E51" t="s">
        <v>283</v>
      </c>
      <c r="F51" t="s">
        <v>104</v>
      </c>
      <c r="G51" t="s">
        <v>49</v>
      </c>
      <c r="H51" t="s">
        <v>37</v>
      </c>
      <c r="I51" t="s">
        <v>59</v>
      </c>
      <c r="J51" t="s">
        <v>39</v>
      </c>
      <c r="K51" t="s">
        <v>41</v>
      </c>
      <c r="L51" t="s">
        <v>37</v>
      </c>
      <c r="M51" t="s">
        <v>40</v>
      </c>
      <c r="N51" t="s">
        <v>37</v>
      </c>
      <c r="O51" t="s">
        <v>37</v>
      </c>
      <c r="P51" t="s">
        <v>37</v>
      </c>
      <c r="Q51" t="s">
        <v>40</v>
      </c>
      <c r="R51" t="s">
        <v>88</v>
      </c>
      <c r="S51" t="s">
        <v>40</v>
      </c>
      <c r="T51" t="s">
        <v>284</v>
      </c>
    </row>
    <row r="52" spans="1:20" x14ac:dyDescent="0.3">
      <c r="A52" s="1" t="s">
        <v>285</v>
      </c>
      <c r="B52" s="1" t="s">
        <v>122</v>
      </c>
      <c r="C52" t="s">
        <v>176</v>
      </c>
      <c r="D52" t="s">
        <v>286</v>
      </c>
      <c r="E52" t="s">
        <v>287</v>
      </c>
      <c r="F52" t="s">
        <v>138</v>
      </c>
      <c r="G52" t="s">
        <v>111</v>
      </c>
      <c r="H52" t="s">
        <v>37</v>
      </c>
      <c r="I52" t="s">
        <v>38</v>
      </c>
      <c r="J52" t="s">
        <v>39</v>
      </c>
      <c r="K52" t="s">
        <v>37</v>
      </c>
      <c r="L52" t="s">
        <v>40</v>
      </c>
      <c r="M52" t="s">
        <v>40</v>
      </c>
      <c r="N52" t="s">
        <v>37</v>
      </c>
      <c r="O52" t="s">
        <v>37</v>
      </c>
      <c r="P52" t="s">
        <v>37</v>
      </c>
      <c r="Q52" t="s">
        <v>37</v>
      </c>
      <c r="R52" t="s">
        <v>88</v>
      </c>
      <c r="S52" t="s">
        <v>40</v>
      </c>
      <c r="T52" t="s">
        <v>288</v>
      </c>
    </row>
    <row r="53" spans="1:20" x14ac:dyDescent="0.3">
      <c r="A53" s="1" t="s">
        <v>289</v>
      </c>
      <c r="B53" s="1" t="s">
        <v>290</v>
      </c>
      <c r="C53" t="s">
        <v>291</v>
      </c>
      <c r="D53" t="s">
        <v>130</v>
      </c>
      <c r="E53" t="s">
        <v>292</v>
      </c>
      <c r="F53" t="s">
        <v>58</v>
      </c>
      <c r="G53" t="s">
        <v>111</v>
      </c>
      <c r="H53" t="s">
        <v>37</v>
      </c>
      <c r="I53" t="s">
        <v>38</v>
      </c>
      <c r="J53" t="s">
        <v>50</v>
      </c>
      <c r="K53" t="s">
        <v>40</v>
      </c>
      <c r="L53" t="s">
        <v>40</v>
      </c>
      <c r="M53" t="s">
        <v>40</v>
      </c>
      <c r="N53" t="s">
        <v>37</v>
      </c>
      <c r="O53" t="s">
        <v>37</v>
      </c>
      <c r="P53" t="s">
        <v>37</v>
      </c>
      <c r="Q53" t="s">
        <v>40</v>
      </c>
      <c r="R53" t="s">
        <v>88</v>
      </c>
      <c r="S53" t="s">
        <v>41</v>
      </c>
      <c r="T53" t="s">
        <v>293</v>
      </c>
    </row>
    <row r="54" spans="1:20" x14ac:dyDescent="0.3">
      <c r="A54" s="1" t="s">
        <v>294</v>
      </c>
      <c r="B54" s="1" t="s">
        <v>142</v>
      </c>
      <c r="C54" t="s">
        <v>295</v>
      </c>
      <c r="D54" t="s">
        <v>180</v>
      </c>
      <c r="E54" t="s">
        <v>296</v>
      </c>
      <c r="F54" t="s">
        <v>104</v>
      </c>
      <c r="G54" t="s">
        <v>297</v>
      </c>
      <c r="H54" t="s">
        <v>37</v>
      </c>
      <c r="I54" t="s">
        <v>38</v>
      </c>
      <c r="J54" t="s">
        <v>40</v>
      </c>
      <c r="K54" t="s">
        <v>41</v>
      </c>
      <c r="L54" t="s">
        <v>41</v>
      </c>
      <c r="M54" t="s">
        <v>40</v>
      </c>
      <c r="N54" t="s">
        <v>40</v>
      </c>
      <c r="O54" t="s">
        <v>37</v>
      </c>
      <c r="P54" t="s">
        <v>37</v>
      </c>
      <c r="Q54" t="s">
        <v>40</v>
      </c>
      <c r="R54" t="s">
        <v>88</v>
      </c>
      <c r="S54" t="s">
        <v>41</v>
      </c>
      <c r="T54" t="s">
        <v>298</v>
      </c>
    </row>
    <row r="55" spans="1:20" x14ac:dyDescent="0.3">
      <c r="A55" s="1" t="s">
        <v>299</v>
      </c>
      <c r="B55" s="1" t="s">
        <v>300</v>
      </c>
      <c r="C55" t="s">
        <v>301</v>
      </c>
      <c r="D55" t="s">
        <v>124</v>
      </c>
      <c r="E55" t="s">
        <v>302</v>
      </c>
      <c r="F55" t="s">
        <v>104</v>
      </c>
      <c r="G55" t="s">
        <v>111</v>
      </c>
      <c r="H55" t="s">
        <v>37</v>
      </c>
      <c r="I55" t="s">
        <v>38</v>
      </c>
      <c r="J55" t="s">
        <v>39</v>
      </c>
      <c r="K55" t="s">
        <v>37</v>
      </c>
      <c r="L55" t="s">
        <v>37</v>
      </c>
      <c r="M55" t="s">
        <v>40</v>
      </c>
      <c r="N55" t="s">
        <v>37</v>
      </c>
      <c r="O55" t="s">
        <v>37</v>
      </c>
      <c r="P55" t="s">
        <v>37</v>
      </c>
      <c r="Q55" t="s">
        <v>37</v>
      </c>
      <c r="R55" t="s">
        <v>42</v>
      </c>
      <c r="S55" t="s">
        <v>40</v>
      </c>
      <c r="T55" t="s">
        <v>303</v>
      </c>
    </row>
    <row r="56" spans="1:20" x14ac:dyDescent="0.3">
      <c r="A56" s="1" t="s">
        <v>304</v>
      </c>
      <c r="B56" s="1" t="s">
        <v>276</v>
      </c>
      <c r="C56" t="s">
        <v>34</v>
      </c>
      <c r="D56" t="s">
        <v>186</v>
      </c>
      <c r="E56" t="s">
        <v>305</v>
      </c>
      <c r="F56" t="s">
        <v>58</v>
      </c>
      <c r="G56" t="s">
        <v>306</v>
      </c>
      <c r="H56" t="s">
        <v>37</v>
      </c>
      <c r="I56" t="s">
        <v>38</v>
      </c>
      <c r="J56" t="s">
        <v>39</v>
      </c>
      <c r="K56" t="s">
        <v>37</v>
      </c>
      <c r="L56" t="s">
        <v>40</v>
      </c>
      <c r="M56" t="s">
        <v>40</v>
      </c>
      <c r="N56" t="s">
        <v>41</v>
      </c>
      <c r="O56" t="s">
        <v>40</v>
      </c>
      <c r="P56" t="s">
        <v>41</v>
      </c>
      <c r="Q56" t="s">
        <v>40</v>
      </c>
      <c r="R56" t="s">
        <v>42</v>
      </c>
      <c r="S56" t="s">
        <v>41</v>
      </c>
      <c r="T56" t="s">
        <v>307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E107-000B-4BE4-B155-EEC1D0EFD92B}">
  <dimension ref="A1:C20"/>
  <sheetViews>
    <sheetView workbookViewId="0">
      <selection activeCell="B26" sqref="B26"/>
    </sheetView>
  </sheetViews>
  <sheetFormatPr defaultRowHeight="14.4" x14ac:dyDescent="0.3"/>
  <cols>
    <col min="1" max="1" width="21.44140625" bestFit="1" customWidth="1"/>
    <col min="2" max="2" width="81.21875" bestFit="1" customWidth="1"/>
    <col min="3" max="3" width="28.6640625" bestFit="1" customWidth="1"/>
  </cols>
  <sheetData>
    <row r="1" spans="1:3" x14ac:dyDescent="0.3">
      <c r="A1" t="s">
        <v>0</v>
      </c>
      <c r="B1" t="s">
        <v>27</v>
      </c>
      <c r="C1" t="s">
        <v>25</v>
      </c>
    </row>
    <row r="2" spans="1:3" x14ac:dyDescent="0.3">
      <c r="A2" t="str">
        <f>Data!B1</f>
        <v>Countries Visited</v>
      </c>
      <c r="B2" t="s">
        <v>18</v>
      </c>
      <c r="C2" t="s">
        <v>26</v>
      </c>
    </row>
    <row r="3" spans="1:3" x14ac:dyDescent="0.3">
      <c r="A3" t="str">
        <f>Data!C1</f>
        <v>Anatomy Involvement</v>
      </c>
      <c r="B3" t="s">
        <v>19</v>
      </c>
      <c r="C3" t="s">
        <v>26</v>
      </c>
    </row>
    <row r="4" spans="1:3" x14ac:dyDescent="0.3">
      <c r="A4" t="str">
        <f>Data!D1</f>
        <v>Vector Exposure</v>
      </c>
      <c r="B4" t="s">
        <v>32</v>
      </c>
      <c r="C4" t="s">
        <v>25</v>
      </c>
    </row>
    <row r="5" spans="1:3" x14ac:dyDescent="0.3">
      <c r="A5" t="str">
        <f>Table1[[#Headers],[Symptoms]]</f>
        <v>Symptoms</v>
      </c>
      <c r="B5" t="s">
        <v>20</v>
      </c>
      <c r="C5" t="s">
        <v>26</v>
      </c>
    </row>
    <row r="6" spans="1:3" x14ac:dyDescent="0.3">
      <c r="A6" t="str">
        <f>Table1[[#Headers],[Duration of Illness]]</f>
        <v>Duration of Illness</v>
      </c>
      <c r="B6" t="s">
        <v>28</v>
      </c>
      <c r="C6" t="s">
        <v>25</v>
      </c>
    </row>
    <row r="7" spans="1:3" x14ac:dyDescent="0.3">
      <c r="A7" t="str">
        <f>Table1[[#Headers],[Animal Contact Type]]</f>
        <v>Animal Contact Type</v>
      </c>
      <c r="B7" t="s">
        <v>21</v>
      </c>
      <c r="C7" t="s">
        <v>26</v>
      </c>
    </row>
    <row r="8" spans="1:3" x14ac:dyDescent="0.3">
      <c r="A8" t="str">
        <f>Table1[[#Headers],[Blood Film Result]]</f>
        <v>Blood Film Result</v>
      </c>
      <c r="B8" t="s">
        <v>24</v>
      </c>
      <c r="C8" t="s">
        <v>26</v>
      </c>
    </row>
    <row r="9" spans="1:3" x14ac:dyDescent="0.3">
      <c r="A9" t="str">
        <f>Table1[[#Headers],[Immune Status]]</f>
        <v>Immune Status</v>
      </c>
      <c r="B9" t="s">
        <v>29</v>
      </c>
      <c r="C9" t="s">
        <v>25</v>
      </c>
    </row>
    <row r="10" spans="1:3" x14ac:dyDescent="0.3">
      <c r="A10" t="str">
        <f>Table1[[#Headers],[Liver Function Tests]]</f>
        <v>Liver Function Tests</v>
      </c>
      <c r="B10" t="s">
        <v>30</v>
      </c>
      <c r="C10" t="s">
        <v>25</v>
      </c>
    </row>
    <row r="11" spans="1:3" x14ac:dyDescent="0.3">
      <c r="A11" t="str">
        <f>Table1[[#Headers],[Neurological Involvement]]</f>
        <v>Neurological Involvement</v>
      </c>
      <c r="B11" t="s">
        <v>23</v>
      </c>
      <c r="C11" t="s">
        <v>25</v>
      </c>
    </row>
    <row r="12" spans="1:3" x14ac:dyDescent="0.3">
      <c r="A12" t="str">
        <f>Table1[[#Headers],[Eosinophilia]]</f>
        <v>Eosinophilia</v>
      </c>
      <c r="B12" t="s">
        <v>23</v>
      </c>
      <c r="C12" t="s">
        <v>25</v>
      </c>
    </row>
    <row r="13" spans="1:3" x14ac:dyDescent="0.3">
      <c r="A13" t="str">
        <f>Table1[[#Headers],[Fever]]</f>
        <v>Fever</v>
      </c>
      <c r="B13" t="s">
        <v>23</v>
      </c>
      <c r="C13" t="s">
        <v>25</v>
      </c>
    </row>
    <row r="14" spans="1:3" x14ac:dyDescent="0.3">
      <c r="A14" t="str">
        <f>Table1[[#Headers],[Diarrhea]]</f>
        <v>Diarrhea</v>
      </c>
      <c r="B14" t="s">
        <v>23</v>
      </c>
      <c r="C14" t="s">
        <v>25</v>
      </c>
    </row>
    <row r="15" spans="1:3" x14ac:dyDescent="0.3">
      <c r="A15" t="str">
        <f>Table1[[#Headers],[Bloody Diarrhea]]</f>
        <v>Bloody Diarrhea</v>
      </c>
      <c r="B15" t="s">
        <v>23</v>
      </c>
      <c r="C15" t="s">
        <v>25</v>
      </c>
    </row>
    <row r="16" spans="1:3" x14ac:dyDescent="0.3">
      <c r="A16" t="str">
        <f>Table1[[#Headers],[Stool Cysts or Ova]]</f>
        <v>Stool Cysts or Ova</v>
      </c>
      <c r="B16" t="s">
        <v>23</v>
      </c>
      <c r="C16" t="s">
        <v>25</v>
      </c>
    </row>
    <row r="17" spans="1:3" x14ac:dyDescent="0.3">
      <c r="A17" t="str">
        <f>Table1[[#Headers],[Anemia]]</f>
        <v>Anemia</v>
      </c>
      <c r="B17" t="s">
        <v>23</v>
      </c>
      <c r="C17" t="s">
        <v>25</v>
      </c>
    </row>
    <row r="18" spans="1:3" x14ac:dyDescent="0.3">
      <c r="A18" t="str">
        <f>Table1[[#Headers],[Cysts on Imaging]]</f>
        <v>Cysts on Imaging</v>
      </c>
      <c r="B18" t="s">
        <v>31</v>
      </c>
      <c r="C18" t="s">
        <v>25</v>
      </c>
    </row>
    <row r="19" spans="1:3" x14ac:dyDescent="0.3">
      <c r="A19" t="str">
        <f>Table1[[#Headers],[High IgE Level]]</f>
        <v>High IgE Level</v>
      </c>
      <c r="B19" t="s">
        <v>23</v>
      </c>
      <c r="C19" t="s">
        <v>25</v>
      </c>
    </row>
    <row r="20" spans="1:3" x14ac:dyDescent="0.3">
      <c r="A20" t="str">
        <f>Table1[[#Headers],[Key test]]</f>
        <v>Key test</v>
      </c>
      <c r="B20" t="s">
        <v>20</v>
      </c>
      <c r="C20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7D2D-F7F9-4ADB-81F0-198C8A7D1108}">
  <dimension ref="A1:D27"/>
  <sheetViews>
    <sheetView tabSelected="1" workbookViewId="0">
      <selection activeCell="D1" sqref="D1"/>
    </sheetView>
  </sheetViews>
  <sheetFormatPr defaultRowHeight="14.4" x14ac:dyDescent="0.3"/>
  <cols>
    <col min="1" max="1" width="8.88671875" style="4"/>
    <col min="2" max="2" width="19.5546875" style="8" bestFit="1" customWidth="1"/>
    <col min="3" max="3" width="8.88671875" style="8"/>
    <col min="4" max="4" width="17.5546875" style="5" bestFit="1" customWidth="1"/>
  </cols>
  <sheetData>
    <row r="1" spans="1:4" x14ac:dyDescent="0.3">
      <c r="A1" s="6" t="s">
        <v>313</v>
      </c>
      <c r="B1" s="3" t="s">
        <v>315</v>
      </c>
      <c r="C1" s="3" t="s">
        <v>314</v>
      </c>
      <c r="D1" s="7" t="s">
        <v>315</v>
      </c>
    </row>
    <row r="2" spans="1:4" x14ac:dyDescent="0.3">
      <c r="A2" s="4">
        <v>1</v>
      </c>
      <c r="B2" s="8" t="s">
        <v>316</v>
      </c>
      <c r="C2" s="8">
        <v>1</v>
      </c>
      <c r="D2" s="5" t="s">
        <v>317</v>
      </c>
    </row>
    <row r="3" spans="1:4" x14ac:dyDescent="0.3">
      <c r="C3" s="8">
        <v>2</v>
      </c>
      <c r="D3" s="5" t="s">
        <v>318</v>
      </c>
    </row>
    <row r="4" spans="1:4" x14ac:dyDescent="0.3">
      <c r="A4" s="4">
        <v>2</v>
      </c>
      <c r="B4" s="8" t="s">
        <v>319</v>
      </c>
      <c r="C4" s="8">
        <v>3</v>
      </c>
      <c r="D4" s="5" t="s">
        <v>320</v>
      </c>
    </row>
    <row r="5" spans="1:4" x14ac:dyDescent="0.3">
      <c r="C5" s="8">
        <v>4</v>
      </c>
      <c r="D5" s="5" t="s">
        <v>321</v>
      </c>
    </row>
    <row r="6" spans="1:4" x14ac:dyDescent="0.3">
      <c r="A6" s="4">
        <v>3</v>
      </c>
      <c r="B6" s="8" t="s">
        <v>322</v>
      </c>
      <c r="C6" s="8">
        <v>5</v>
      </c>
      <c r="D6" s="5" t="s">
        <v>323</v>
      </c>
    </row>
    <row r="7" spans="1:4" x14ac:dyDescent="0.3">
      <c r="C7" s="8">
        <v>6</v>
      </c>
      <c r="D7" s="5" t="s">
        <v>324</v>
      </c>
    </row>
    <row r="8" spans="1:4" x14ac:dyDescent="0.3">
      <c r="C8" s="8">
        <v>7</v>
      </c>
      <c r="D8" s="5" t="s">
        <v>325</v>
      </c>
    </row>
    <row r="9" spans="1:4" x14ac:dyDescent="0.3">
      <c r="A9" s="4">
        <v>4</v>
      </c>
      <c r="B9" s="8" t="s">
        <v>326</v>
      </c>
      <c r="C9" s="8">
        <v>8</v>
      </c>
      <c r="D9" s="5" t="s">
        <v>327</v>
      </c>
    </row>
    <row r="10" spans="1:4" x14ac:dyDescent="0.3">
      <c r="C10" s="8">
        <v>9</v>
      </c>
      <c r="D10" s="5" t="s">
        <v>328</v>
      </c>
    </row>
    <row r="11" spans="1:4" x14ac:dyDescent="0.3">
      <c r="C11" s="8">
        <v>10</v>
      </c>
      <c r="D11" s="5" t="s">
        <v>329</v>
      </c>
    </row>
    <row r="12" spans="1:4" x14ac:dyDescent="0.3">
      <c r="C12" s="8">
        <v>11</v>
      </c>
      <c r="D12" s="5" t="s">
        <v>330</v>
      </c>
    </row>
    <row r="13" spans="1:4" x14ac:dyDescent="0.3">
      <c r="A13" s="4">
        <v>5</v>
      </c>
      <c r="B13" s="8" t="s">
        <v>331</v>
      </c>
      <c r="C13" s="8">
        <v>12</v>
      </c>
      <c r="D13" s="5" t="s">
        <v>332</v>
      </c>
    </row>
    <row r="14" spans="1:4" x14ac:dyDescent="0.3">
      <c r="C14" s="8">
        <v>13</v>
      </c>
      <c r="D14" s="5" t="s">
        <v>333</v>
      </c>
    </row>
    <row r="15" spans="1:4" x14ac:dyDescent="0.3">
      <c r="C15" s="8">
        <v>14</v>
      </c>
      <c r="D15" s="5" t="s">
        <v>334</v>
      </c>
    </row>
    <row r="16" spans="1:4" x14ac:dyDescent="0.3">
      <c r="C16" s="8">
        <v>15</v>
      </c>
      <c r="D16" s="5" t="s">
        <v>335</v>
      </c>
    </row>
    <row r="17" spans="1:4" x14ac:dyDescent="0.3">
      <c r="A17" s="4">
        <v>6</v>
      </c>
      <c r="B17" s="8" t="s">
        <v>336</v>
      </c>
      <c r="C17" s="8">
        <v>16</v>
      </c>
      <c r="D17" s="5" t="s">
        <v>337</v>
      </c>
    </row>
    <row r="18" spans="1:4" x14ac:dyDescent="0.3">
      <c r="C18" s="8">
        <v>17</v>
      </c>
      <c r="D18" s="5" t="s">
        <v>338</v>
      </c>
    </row>
    <row r="19" spans="1:4" x14ac:dyDescent="0.3">
      <c r="A19" s="4">
        <v>7</v>
      </c>
      <c r="B19" s="8" t="s">
        <v>346</v>
      </c>
      <c r="C19" s="8">
        <v>18</v>
      </c>
      <c r="D19" s="5" t="s">
        <v>340</v>
      </c>
    </row>
    <row r="20" spans="1:4" x14ac:dyDescent="0.3">
      <c r="C20" s="8">
        <v>19</v>
      </c>
      <c r="D20" s="5" t="s">
        <v>341</v>
      </c>
    </row>
    <row r="21" spans="1:4" x14ac:dyDescent="0.3">
      <c r="C21" s="8">
        <v>20</v>
      </c>
      <c r="D21" s="5" t="s">
        <v>342</v>
      </c>
    </row>
    <row r="22" spans="1:4" x14ac:dyDescent="0.3">
      <c r="C22" s="8">
        <v>21</v>
      </c>
      <c r="D22" s="5" t="s">
        <v>343</v>
      </c>
    </row>
    <row r="23" spans="1:4" x14ac:dyDescent="0.3">
      <c r="A23" s="4">
        <v>8</v>
      </c>
      <c r="B23" s="8" t="s">
        <v>339</v>
      </c>
      <c r="C23" s="8">
        <v>22</v>
      </c>
      <c r="D23" s="5" t="s">
        <v>347</v>
      </c>
    </row>
    <row r="24" spans="1:4" x14ac:dyDescent="0.3">
      <c r="C24" s="8">
        <v>23</v>
      </c>
      <c r="D24" s="5" t="s">
        <v>348</v>
      </c>
    </row>
    <row r="25" spans="1:4" x14ac:dyDescent="0.3">
      <c r="C25" s="8">
        <v>24</v>
      </c>
      <c r="D25" s="5" t="s">
        <v>349</v>
      </c>
    </row>
    <row r="26" spans="1:4" x14ac:dyDescent="0.3">
      <c r="A26" s="4">
        <v>9</v>
      </c>
      <c r="B26" s="8" t="s">
        <v>344</v>
      </c>
      <c r="C26" s="8">
        <v>25</v>
      </c>
      <c r="D26" t="s">
        <v>345</v>
      </c>
    </row>
    <row r="27" spans="1:4" x14ac:dyDescent="0.3">
      <c r="A27" s="4">
        <v>10</v>
      </c>
      <c r="B27" s="8" t="s">
        <v>350</v>
      </c>
      <c r="C27" s="8">
        <v>26</v>
      </c>
      <c r="D27" s="5" t="s">
        <v>351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8EFE83-6E9F-4F97-9D99-4B6F7343DA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Key</vt:lpstr>
      <vt:lpstr>Grouping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Akhter</dc:creator>
  <cp:lastModifiedBy>Adam Akhter</cp:lastModifiedBy>
  <dcterms:created xsi:type="dcterms:W3CDTF">2025-11-08T17:41:31Z</dcterms:created>
  <dcterms:modified xsi:type="dcterms:W3CDTF">2025-11-08T22:50:23Z</dcterms:modified>
</cp:coreProperties>
</file>